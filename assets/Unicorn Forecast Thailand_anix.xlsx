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ixmac2018/Desktop/"/>
    </mc:Choice>
  </mc:AlternateContent>
  <xr:revisionPtr revIDLastSave="0" documentId="8_{F3A151E0-B7BC-1840-A49E-54261D20CD5C}" xr6:coauthVersionLast="40" xr6:coauthVersionMax="40" xr10:uidLastSave="{00000000-0000-0000-0000-000000000000}"/>
  <bookViews>
    <workbookView xWindow="560" yWindow="560" windowWidth="28240" windowHeight="16220" tabRatio="500" xr2:uid="{00000000-000D-0000-FFFF-FFFF00000000}"/>
  </bookViews>
  <sheets>
    <sheet name="economy" sheetId="1" r:id="rId1"/>
    <sheet name="Talent" sheetId="2" r:id="rId2"/>
    <sheet name="Sheet4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3" i="1" l="1"/>
  <c r="L34" i="1"/>
  <c r="B5" i="1"/>
  <c r="G27" i="1"/>
  <c r="J17" i="1"/>
  <c r="B9" i="1" l="1"/>
  <c r="C39" i="1"/>
  <c r="D39" i="1" s="1"/>
  <c r="E39" i="1" s="1"/>
  <c r="F39" i="1" s="1"/>
  <c r="J19" i="1"/>
  <c r="C40" i="1"/>
  <c r="D40" i="1" s="1"/>
  <c r="E40" i="1" s="1"/>
  <c r="F40" i="1" s="1"/>
  <c r="C42" i="1"/>
  <c r="C35" i="1"/>
  <c r="B34" i="1"/>
  <c r="C34" i="1" s="1"/>
  <c r="J15" i="1"/>
  <c r="C36" i="1" s="1"/>
  <c r="J16" i="1"/>
  <c r="C37" i="1" s="1"/>
  <c r="D37" i="1" s="1"/>
  <c r="C38" i="1"/>
  <c r="D38" i="1" s="1"/>
  <c r="E38" i="1" s="1"/>
  <c r="J14" i="1"/>
  <c r="D23" i="1"/>
  <c r="E24" i="1" s="1"/>
  <c r="C23" i="1"/>
  <c r="D24" i="1" s="1"/>
  <c r="E23" i="1"/>
  <c r="F23" i="1"/>
  <c r="G24" i="1" s="1"/>
  <c r="F24" i="1"/>
  <c r="G23" i="1"/>
  <c r="G25" i="1"/>
  <c r="H23" i="1"/>
  <c r="H24" i="1"/>
  <c r="H26" i="1"/>
  <c r="I23" i="1"/>
  <c r="I24" i="1"/>
  <c r="I25" i="1"/>
  <c r="I27" i="1"/>
  <c r="J23" i="1"/>
  <c r="J24" i="1"/>
  <c r="J25" i="1"/>
  <c r="J26" i="1"/>
  <c r="K28" i="1" s="1"/>
  <c r="K23" i="1"/>
  <c r="K24" i="1"/>
  <c r="K25" i="1"/>
  <c r="K26" i="1"/>
  <c r="L28" i="1" s="1"/>
  <c r="K27" i="1"/>
  <c r="L23" i="1"/>
  <c r="L24" i="1"/>
  <c r="L26" i="1"/>
  <c r="L27" i="1"/>
  <c r="M23" i="1"/>
  <c r="M24" i="1"/>
  <c r="M25" i="1"/>
  <c r="N23" i="1"/>
  <c r="N24" i="1"/>
  <c r="N25" i="1"/>
  <c r="N26" i="1"/>
  <c r="O23" i="1"/>
  <c r="O24" i="1"/>
  <c r="O25" i="1"/>
  <c r="O26" i="1"/>
  <c r="O27" i="1"/>
  <c r="O28" i="1"/>
  <c r="O29" i="1"/>
  <c r="P23" i="1"/>
  <c r="P24" i="1"/>
  <c r="P25" i="1"/>
  <c r="P26" i="1"/>
  <c r="P27" i="1"/>
  <c r="C29" i="1"/>
  <c r="B29" i="1"/>
  <c r="H25" i="1" l="1"/>
  <c r="D34" i="1"/>
  <c r="D42" i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E25" i="1"/>
  <c r="D29" i="1"/>
  <c r="F25" i="1"/>
  <c r="L25" i="1"/>
  <c r="L29" i="1" s="1"/>
  <c r="P28" i="1"/>
  <c r="I28" i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K29" i="1"/>
  <c r="M27" i="1"/>
  <c r="D35" i="1"/>
  <c r="E35" i="1" s="1"/>
  <c r="M28" i="1"/>
  <c r="G26" i="1" l="1"/>
  <c r="M26" i="1"/>
  <c r="I26" i="1"/>
  <c r="F26" i="1"/>
  <c r="F29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E34" i="1"/>
  <c r="E42" i="1"/>
  <c r="P29" i="1"/>
  <c r="E29" i="1"/>
  <c r="F34" i="1" l="1"/>
  <c r="F42" i="1"/>
  <c r="J27" i="1"/>
  <c r="J28" i="1"/>
  <c r="I29" i="1"/>
  <c r="G38" i="1"/>
  <c r="H38" i="1" s="1"/>
  <c r="I38" i="1" s="1"/>
  <c r="J38" i="1" s="1"/>
  <c r="K38" i="1" s="1"/>
  <c r="L38" i="1" s="1"/>
  <c r="M38" i="1" s="1"/>
  <c r="N38" i="1" s="1"/>
  <c r="O38" i="1" s="1"/>
  <c r="P38" i="1" s="1"/>
  <c r="H27" i="1"/>
  <c r="H28" i="1"/>
  <c r="F38" i="1"/>
  <c r="G39" i="1"/>
  <c r="G28" i="1"/>
  <c r="G40" i="1" s="1"/>
  <c r="N28" i="1"/>
  <c r="N27" i="1"/>
  <c r="M29" i="1"/>
  <c r="N29" i="1" l="1"/>
  <c r="H39" i="1"/>
  <c r="I39" i="1" s="1"/>
  <c r="H29" i="1"/>
  <c r="J40" i="1"/>
  <c r="K40" i="1" s="1"/>
  <c r="L40" i="1" s="1"/>
  <c r="M40" i="1" s="1"/>
  <c r="N40" i="1" s="1"/>
  <c r="O40" i="1" s="1"/>
  <c r="P40" i="1" s="1"/>
  <c r="J39" i="1"/>
  <c r="K39" i="1" s="1"/>
  <c r="L39" i="1" s="1"/>
  <c r="M39" i="1" s="1"/>
  <c r="N39" i="1" s="1"/>
  <c r="O39" i="1" s="1"/>
  <c r="P39" i="1" s="1"/>
  <c r="P43" i="1" s="1"/>
  <c r="Q43" i="1" s="1"/>
  <c r="J29" i="1"/>
  <c r="G29" i="1"/>
  <c r="H40" i="1"/>
  <c r="I40" i="1" s="1"/>
  <c r="G34" i="1"/>
  <c r="G42" i="1"/>
  <c r="H34" i="1" l="1"/>
  <c r="H42" i="1"/>
  <c r="I42" i="1" l="1"/>
  <c r="I34" i="1"/>
  <c r="J34" i="1" l="1"/>
  <c r="J42" i="1"/>
  <c r="K34" i="1" l="1"/>
  <c r="K42" i="1"/>
  <c r="L42" i="1" l="1"/>
  <c r="M34" i="1" l="1"/>
  <c r="M42" i="1"/>
  <c r="N34" i="1" l="1"/>
  <c r="N42" i="1"/>
  <c r="O34" i="1" l="1"/>
  <c r="O42" i="1"/>
  <c r="P34" i="1" l="1"/>
  <c r="P42" i="1"/>
  <c r="Q42" i="1" s="1"/>
  <c r="Q44" i="1" s="1"/>
  <c r="Q45" i="1" s="1"/>
</calcChain>
</file>

<file path=xl/sharedStrings.xml><?xml version="1.0" encoding="utf-8"?>
<sst xmlns="http://schemas.openxmlformats.org/spreadsheetml/2006/main" count="101" uniqueCount="84">
  <si>
    <t>GDP Thailand</t>
  </si>
  <si>
    <t>Objective</t>
  </si>
  <si>
    <t>of the economy</t>
  </si>
  <si>
    <t xml:space="preserve">Billion </t>
  </si>
  <si>
    <t>SET Stock Exchange</t>
  </si>
  <si>
    <t>Google</t>
  </si>
  <si>
    <t>company</t>
  </si>
  <si>
    <t>value</t>
  </si>
  <si>
    <t>funded</t>
  </si>
  <si>
    <t>Uber</t>
  </si>
  <si>
    <t>AiBnB</t>
  </si>
  <si>
    <t>Snapchat</t>
  </si>
  <si>
    <t>Comparative valuations of successful startups</t>
  </si>
  <si>
    <t>Spotify</t>
  </si>
  <si>
    <t>companies</t>
  </si>
  <si>
    <t>Seed</t>
  </si>
  <si>
    <t>Series A</t>
  </si>
  <si>
    <t>Start</t>
  </si>
  <si>
    <t>Series B</t>
  </si>
  <si>
    <t>Series C</t>
  </si>
  <si>
    <t>Unicorn IPO</t>
  </si>
  <si>
    <t>Time</t>
  </si>
  <si>
    <t>3 to 4</t>
  </si>
  <si>
    <t>5  to 10</t>
  </si>
  <si>
    <t>4 to 7</t>
  </si>
  <si>
    <t>typical company value</t>
  </si>
  <si>
    <t>Super Unicorn</t>
  </si>
  <si>
    <t>uber, airbnb, alibaba, google</t>
  </si>
  <si>
    <t>waze</t>
  </si>
  <si>
    <t>acommerce</t>
  </si>
  <si>
    <t>Total value to economy</t>
  </si>
  <si>
    <t>Exit</t>
  </si>
  <si>
    <t xml:space="preserve">Total Value created in Year </t>
  </si>
  <si>
    <t>Startup Creation</t>
  </si>
  <si>
    <t>Startup Accumulation</t>
  </si>
  <si>
    <t>Fail</t>
  </si>
  <si>
    <t>Value Successfully Exited below unicorn</t>
  </si>
  <si>
    <t>Total value</t>
  </si>
  <si>
    <t>from sub Unicorns</t>
  </si>
  <si>
    <t>from Unicorns</t>
  </si>
  <si>
    <t>million</t>
  </si>
  <si>
    <t>objective</t>
  </si>
  <si>
    <t>how much valuation of startups</t>
  </si>
  <si>
    <t>Value from Unicorns</t>
  </si>
  <si>
    <t>Internal Engineers</t>
  </si>
  <si>
    <t>Internal Entrepreneurs</t>
  </si>
  <si>
    <t>External Engineers</t>
  </si>
  <si>
    <t>External Entrepreneurs</t>
  </si>
  <si>
    <t>Mentors and Experts</t>
  </si>
  <si>
    <t>Culture</t>
  </si>
  <si>
    <t>Short term</t>
  </si>
  <si>
    <t>Medium Term</t>
  </si>
  <si>
    <t>Programs of Pre-Accelerator (learn to build a startup) like TetuanValleySchool in Spain</t>
  </si>
  <si>
    <t>Tax incentives to build the company in Thailand instead of moving abroad to create it</t>
  </si>
  <si>
    <t>Enable Stock Option plans to incentivize staying in Thailand</t>
  </si>
  <si>
    <t>Low tax on capital gains for successful Startup exit in order to retain talent as 2nd time Entrepreneur</t>
  </si>
  <si>
    <t>Technical Visa to people in the region, including Vietnam, etc.</t>
  </si>
  <si>
    <t>Create internship program to help our wannapreneurs be part of a startup abroad, with the internship paid by Thai Gov, so they can learn and come back</t>
  </si>
  <si>
    <t>Startup Visa and create a startup paradise of Tax for foreigners to choose BKK over SG or HK for new startups or Asian operations</t>
  </si>
  <si>
    <t>Facilitate onboarding of entrepreneurs in the region: housing, coworking, banking, etc. simple to use</t>
  </si>
  <si>
    <t>Free English academy</t>
  </si>
  <si>
    <t>Increase the perception of tech and startups, so that children are more comfortable with their parents</t>
  </si>
  <si>
    <t>Accept failure culture</t>
  </si>
  <si>
    <t>Public universities update their technical programmes to cope with new technology</t>
  </si>
  <si>
    <t>Coding atschools since 5 years old, like in UK</t>
  </si>
  <si>
    <t>English standard language in universities</t>
  </si>
  <si>
    <t>Government subsidies on venture capital, matching, etc. for setting up shop in Thailand</t>
  </si>
  <si>
    <t xml:space="preserve">subsidize Hackademy programs to teach people to code in 3 months. General Assembly, IronHack, etc. </t>
  </si>
  <si>
    <t>Create networks of mentors to whom entrepreneurs can reach out. Focus on Thai with previous startup successes, diaspora. Create a forum for them to present, participate, give them credit</t>
  </si>
  <si>
    <t>Repeat the success of South Summit in Spain (started in 2012, now brings all the top VCs in the world). VC Investment forums, yearly events</t>
  </si>
  <si>
    <t>Create ways for Facebook/Google etc to create Tech centres in Thailand. Those engineers can learn best practices and be part of the ecosystem.</t>
  </si>
  <si>
    <t>Create culture of give back for successful entrepreneurs from Thailand</t>
  </si>
  <si>
    <t>Reduce income tax for engineers</t>
  </si>
  <si>
    <t>Reduce income tax for engineers, incentivize coming to Thailand to be an engineer</t>
  </si>
  <si>
    <t>Create FreeInnovation zone to have competitive advantage over other countries (drones, sharing economy, bitcoin, etc)</t>
  </si>
  <si>
    <t>Create FreeInnovation zone to incentivize coming to Thailand to build innovative rpoducts without risk of regulation</t>
  </si>
  <si>
    <t>Build education programs and sponsored visits to Silicon Valley for top entrepreneurs. Partner with e27, etc.</t>
  </si>
  <si>
    <t>Build education programs about what is entrepreneurship and why you can be an entrepreneur</t>
  </si>
  <si>
    <t>Thai unicorn possible 2026 at current pace</t>
  </si>
  <si>
    <t>455m USD</t>
  </si>
  <si>
    <t>Number of VC-ready Startups</t>
  </si>
  <si>
    <t>In mature startup ecosystem</t>
  </si>
  <si>
    <t>ratio</t>
  </si>
  <si>
    <t>In new ecosystem like 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</si>
</sst>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</numFmts>
  <fonts count="1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scheme val="minor"/>
    </font>
    <font>
      <b/>
      <sz val="12"/>
      <color theme="4"/>
      <name val="Calibri"/>
      <scheme val="minor"/>
    </font>
    <font>
      <sz val="12"/>
      <color theme="1"/>
      <name val="Calibri"/>
      <family val="2"/>
      <charset val="204"/>
      <scheme val="minor"/>
    </font>
    <font>
      <sz val="24"/>
      <color theme="1"/>
      <name val="Calibri"/>
      <family val="2"/>
      <charset val="238"/>
      <scheme val="minor"/>
    </font>
    <font>
      <u/>
      <sz val="12"/>
      <color theme="1"/>
      <name val="Calibri"/>
      <family val="2"/>
      <charset val="238"/>
      <scheme val="minor"/>
    </font>
    <font>
      <sz val="12"/>
      <color theme="4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</cellStyleXfs>
  <cellXfs count="31">
    <xf numFmtId="0" fontId="0" fillId="0" borderId="0" xfId="0"/>
    <xf numFmtId="9" fontId="0" fillId="0" borderId="0" xfId="0" applyNumberFormat="1"/>
    <xf numFmtId="0" fontId="2" fillId="0" borderId="0" xfId="0" applyFont="1"/>
    <xf numFmtId="9" fontId="2" fillId="0" borderId="0" xfId="0" applyNumberFormat="1" applyFont="1"/>
    <xf numFmtId="164" fontId="0" fillId="0" borderId="0" xfId="0" applyNumberFormat="1"/>
    <xf numFmtId="0" fontId="5" fillId="0" borderId="0" xfId="0" applyFont="1"/>
    <xf numFmtId="165" fontId="0" fillId="0" borderId="0" xfId="1" applyNumberFormat="1" applyFont="1"/>
    <xf numFmtId="165" fontId="2" fillId="0" borderId="0" xfId="1" applyNumberFormat="1" applyFont="1"/>
    <xf numFmtId="165" fontId="2" fillId="0" borderId="0" xfId="0" applyNumberFormat="1" applyFont="1"/>
    <xf numFmtId="165" fontId="1" fillId="0" borderId="0" xfId="1" applyNumberFormat="1" applyFont="1"/>
    <xf numFmtId="166" fontId="2" fillId="0" borderId="0" xfId="2" applyNumberFormat="1" applyFont="1"/>
    <xf numFmtId="0" fontId="5" fillId="0" borderId="0" xfId="0" applyFont="1" applyAlignment="1">
      <alignment horizontal="center"/>
    </xf>
    <xf numFmtId="9" fontId="5" fillId="0" borderId="0" xfId="0" applyNumberFormat="1" applyFont="1"/>
    <xf numFmtId="0" fontId="6" fillId="0" borderId="0" xfId="0" applyFont="1"/>
    <xf numFmtId="164" fontId="6" fillId="0" borderId="0" xfId="1" applyFont="1"/>
    <xf numFmtId="16" fontId="5" fillId="0" borderId="0" xfId="0" applyNumberFormat="1" applyFont="1" applyAlignment="1">
      <alignment horizontal="center"/>
    </xf>
    <xf numFmtId="164" fontId="5" fillId="0" borderId="0" xfId="1" applyFont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2" fillId="4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5" borderId="4" xfId="0" applyFont="1" applyFill="1" applyBorder="1"/>
    <xf numFmtId="0" fontId="8" fillId="0" borderId="0" xfId="0" applyFont="1"/>
    <xf numFmtId="43" fontId="0" fillId="0" borderId="0" xfId="1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60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  <cellStyle name="Normal 2" xfId="59" xr:uid="{838EE639-5F0F-CD41-B226-035FF7100B23}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economy!$B$42</c:f>
              <c:strCache>
                <c:ptCount val="1"/>
              </c:strCache>
            </c:strRef>
          </c:tx>
          <c:invertIfNegative val="0"/>
          <c:val>
            <c:numRef>
              <c:f>economy!$C$42:$P$42</c:f>
              <c:numCache>
                <c:formatCode>_-* #,##0_-;\-* #,##0_-;_-* "-"??_-;_-@_-</c:formatCode>
                <c:ptCount val="14"/>
                <c:pt idx="0">
                  <c:v>0.2</c:v>
                </c:pt>
                <c:pt idx="1">
                  <c:v>1.7110000000000001</c:v>
                </c:pt>
                <c:pt idx="2">
                  <c:v>9.7422300000000011</c:v>
                </c:pt>
                <c:pt idx="3">
                  <c:v>66.781637429411774</c:v>
                </c:pt>
                <c:pt idx="4">
                  <c:v>343.5756680785571</c:v>
                </c:pt>
                <c:pt idx="5">
                  <c:v>814.13057715929619</c:v>
                </c:pt>
                <c:pt idx="6">
                  <c:v>1497.7340435828096</c:v>
                </c:pt>
                <c:pt idx="7">
                  <c:v>2577.5464322902881</c:v>
                </c:pt>
                <c:pt idx="8">
                  <c:v>4126.8798725433489</c:v>
                </c:pt>
                <c:pt idx="9">
                  <c:v>5890.0655481736121</c:v>
                </c:pt>
                <c:pt idx="10">
                  <c:v>7750.4275402895219</c:v>
                </c:pt>
                <c:pt idx="11">
                  <c:v>9341.6422357912688</c:v>
                </c:pt>
                <c:pt idx="12">
                  <c:v>10704.441271542833</c:v>
                </c:pt>
                <c:pt idx="13">
                  <c:v>11872.895543654102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4-8341-B62F-4DF658F7C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5015288"/>
        <c:axId val="-2065012344"/>
      </c:barChart>
      <c:catAx>
        <c:axId val="-2065015288"/>
        <c:scaling>
          <c:orientation val="minMax"/>
        </c:scaling>
        <c:delete val="0"/>
        <c:axPos val="b"/>
        <c:majorTickMark val="out"/>
        <c:minorTickMark val="none"/>
        <c:tickLblPos val="nextTo"/>
        <c:crossAx val="-2065012344"/>
        <c:crosses val="autoZero"/>
        <c:auto val="1"/>
        <c:lblAlgn val="ctr"/>
        <c:lblOffset val="100"/>
        <c:noMultiLvlLbl val="0"/>
      </c:catAx>
      <c:valAx>
        <c:axId val="-2065012344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-2065015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economy!$B$22:$P$22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9246-BC74-58C64BEBD58F}"/>
            </c:ext>
          </c:extLst>
        </c:ser>
        <c:ser>
          <c:idx val="1"/>
          <c:order val="1"/>
          <c:invertIfNegative val="0"/>
          <c:val>
            <c:numRef>
              <c:f>economy!$B$23:$P$23</c:f>
              <c:numCache>
                <c:formatCode>General</c:formatCode>
                <c:ptCount val="15"/>
                <c:pt idx="1">
                  <c:v>17</c:v>
                </c:pt>
                <c:pt idx="2">
                  <c:v>34</c:v>
                </c:pt>
                <c:pt idx="3">
                  <c:v>51</c:v>
                </c:pt>
                <c:pt idx="4">
                  <c:v>85</c:v>
                </c:pt>
                <c:pt idx="5">
                  <c:v>136</c:v>
                </c:pt>
                <c:pt idx="6">
                  <c:v>170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204</c:v>
                </c:pt>
                <c:pt idx="12">
                  <c:v>204</c:v>
                </c:pt>
                <c:pt idx="13">
                  <c:v>204</c:v>
                </c:pt>
                <c:pt idx="14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F-9246-BC74-58C64BEBD58F}"/>
            </c:ext>
          </c:extLst>
        </c:ser>
        <c:ser>
          <c:idx val="2"/>
          <c:order val="2"/>
          <c:invertIfNegative val="0"/>
          <c:val>
            <c:numRef>
              <c:f>economy!$B$24:$P$24</c:f>
              <c:numCache>
                <c:formatCode>General</c:formatCode>
                <c:ptCount val="15"/>
                <c:pt idx="2">
                  <c:v>6</c:v>
                </c:pt>
                <c:pt idx="3">
                  <c:v>12</c:v>
                </c:pt>
                <c:pt idx="4">
                  <c:v>18</c:v>
                </c:pt>
                <c:pt idx="5">
                  <c:v>30</c:v>
                </c:pt>
                <c:pt idx="6">
                  <c:v>48</c:v>
                </c:pt>
                <c:pt idx="7">
                  <c:v>60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72</c:v>
                </c:pt>
                <c:pt idx="13">
                  <c:v>72</c:v>
                </c:pt>
                <c:pt idx="1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F-9246-BC74-58C64BEBD58F}"/>
            </c:ext>
          </c:extLst>
        </c:ser>
        <c:ser>
          <c:idx val="3"/>
          <c:order val="3"/>
          <c:invertIfNegative val="0"/>
          <c:val>
            <c:numRef>
              <c:f>economy!$B$25:$P$25</c:f>
              <c:numCache>
                <c:formatCode>General</c:formatCode>
                <c:ptCount val="15"/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15</c:v>
                </c:pt>
                <c:pt idx="7">
                  <c:v>24</c:v>
                </c:pt>
                <c:pt idx="8">
                  <c:v>30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F-9246-BC74-58C64BEBD58F}"/>
            </c:ext>
          </c:extLst>
        </c:ser>
        <c:ser>
          <c:idx val="4"/>
          <c:order val="4"/>
          <c:invertIfNegative val="0"/>
          <c:val>
            <c:numRef>
              <c:f>economy!$B$26:$P$26</c:f>
              <c:numCache>
                <c:formatCode>General</c:formatCode>
                <c:ptCount val="15"/>
                <c:pt idx="4">
                  <c:v>1.5</c:v>
                </c:pt>
                <c:pt idx="5">
                  <c:v>3</c:v>
                </c:pt>
                <c:pt idx="6">
                  <c:v>4.5</c:v>
                </c:pt>
                <c:pt idx="7">
                  <c:v>7.5</c:v>
                </c:pt>
                <c:pt idx="8">
                  <c:v>12</c:v>
                </c:pt>
                <c:pt idx="9">
                  <c:v>15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6F-9246-BC74-58C64BEBD58F}"/>
            </c:ext>
          </c:extLst>
        </c:ser>
        <c:ser>
          <c:idx val="5"/>
          <c:order val="5"/>
          <c:invertIfNegative val="0"/>
          <c:val>
            <c:numRef>
              <c:f>economy!$B$27:$P$27</c:f>
              <c:numCache>
                <c:formatCode>General</c:formatCode>
                <c:ptCount val="15"/>
                <c:pt idx="5">
                  <c:v>0.1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6F-9246-BC74-58C64BEBD58F}"/>
            </c:ext>
          </c:extLst>
        </c:ser>
        <c:ser>
          <c:idx val="6"/>
          <c:order val="6"/>
          <c:invertIfNegative val="0"/>
          <c:val>
            <c:numRef>
              <c:f>economy!$B$28:$P$28</c:f>
              <c:numCache>
                <c:formatCode>General</c:formatCode>
                <c:ptCount val="15"/>
                <c:pt idx="5" formatCode="_-* #,##0.00_-;\-* #,##0.00_-;_-* &quot;-&quot;??_-;_-@_-">
                  <c:v>9.0000000000000011E-3</c:v>
                </c:pt>
                <c:pt idx="6" formatCode="_-* #,##0.00_-;\-* #,##0.00_-;_-* &quot;-&quot;??_-;_-@_-">
                  <c:v>1.8000000000000002E-2</c:v>
                </c:pt>
                <c:pt idx="7" formatCode="_-* #,##0.00_-;\-* #,##0.00_-;_-* &quot;-&quot;??_-;_-@_-">
                  <c:v>2.7E-2</c:v>
                </c:pt>
                <c:pt idx="8" formatCode="_-* #,##0.00_-;\-* #,##0.00_-;_-* &quot;-&quot;??_-;_-@_-">
                  <c:v>4.4999999999999998E-2</c:v>
                </c:pt>
                <c:pt idx="9" formatCode="_-* #,##0.00_-;\-* #,##0.00_-;_-* &quot;-&quot;??_-;_-@_-">
                  <c:v>7.2000000000000008E-2</c:v>
                </c:pt>
                <c:pt idx="10" formatCode="_-* #,##0.00_-;\-* #,##0.00_-;_-* &quot;-&quot;??_-;_-@_-">
                  <c:v>0.09</c:v>
                </c:pt>
                <c:pt idx="11" formatCode="_-* #,##0.00_-;\-* #,##0.00_-;_-* &quot;-&quot;??_-;_-@_-">
                  <c:v>0.108</c:v>
                </c:pt>
                <c:pt idx="12" formatCode="_-* #,##0.00_-;\-* #,##0.00_-;_-* &quot;-&quot;??_-;_-@_-">
                  <c:v>0.108</c:v>
                </c:pt>
                <c:pt idx="13" formatCode="_-* #,##0.00_-;\-* #,##0.00_-;_-* &quot;-&quot;??_-;_-@_-">
                  <c:v>0.108</c:v>
                </c:pt>
                <c:pt idx="14" formatCode="_-* #,##0.00_-;\-* #,##0.00_-;_-* &quot;-&quot;??_-;_-@_-">
                  <c:v>0.108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6F-9246-BC74-58C64BEBD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64974296"/>
        <c:axId val="-2064971416"/>
      </c:barChart>
      <c:catAx>
        <c:axId val="-2064974296"/>
        <c:scaling>
          <c:orientation val="minMax"/>
        </c:scaling>
        <c:delete val="0"/>
        <c:axPos val="b"/>
        <c:majorTickMark val="out"/>
        <c:minorTickMark val="none"/>
        <c:tickLblPos val="nextTo"/>
        <c:crossAx val="-2064971416"/>
        <c:crosses val="autoZero"/>
        <c:auto val="1"/>
        <c:lblAlgn val="ctr"/>
        <c:lblOffset val="100"/>
        <c:noMultiLvlLbl val="0"/>
      </c:catAx>
      <c:valAx>
        <c:axId val="-2064971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64974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584200</xdr:colOff>
      <xdr:row>44</xdr:row>
      <xdr:rowOff>158750</xdr:rowOff>
    </xdr:from>
    <xdr:to>
      <xdr:col>15</xdr:col>
      <xdr:colOff>203200</xdr:colOff>
      <xdr:row>59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2489200</xdr:colOff>
      <xdr:row>44</xdr:row>
      <xdr:rowOff>95250</xdr:rowOff>
    </xdr:from>
    <xdr:to>
      <xdr:col>6</xdr:col>
      <xdr:colOff>114300</xdr:colOff>
      <xdr:row>58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469900</xdr:colOff>
      <xdr:row>8</xdr:row>
      <xdr:rowOff>88900</xdr:rowOff>
    </xdr:from>
    <xdr:to>
      <xdr:col>11</xdr:col>
      <xdr:colOff>482600</xdr:colOff>
      <xdr:row>25</xdr:row>
      <xdr:rowOff>101600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DFE2A0-A3BC-1C41-8F9F-66094BED6532}"/>
            </a:ext>
          </a:extLst>
        </xdr:cNvPr>
        <xdr:cNvCxnSpPr/>
      </xdr:nvCxnSpPr>
      <xdr:spPr>
        <a:xfrm flipH="1">
          <a:off x="11544300" y="1905000"/>
          <a:ext cx="12700" cy="3467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ixmac2018/Library/Containers/com.microsoft.Excel/Data/Library/Application%20Support/Microsoft/tech_recruiting_budget_template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 Use This Template"/>
      <sheetName val="Tech Recruitment Budget"/>
    </sheetNames>
    <sheetDataSet>
      <sheetData sheetId="0"/>
      <sheetData sheetId="1">
        <row r="72">
          <cell r="B72" t="str">
            <v>Budget</v>
          </cell>
          <cell r="C72" t="str">
            <v>Actual</v>
          </cell>
        </row>
        <row r="73">
          <cell r="A73" t="str">
            <v>Jan-18</v>
          </cell>
          <cell r="B73">
            <v>13000</v>
          </cell>
          <cell r="C73">
            <v>26000</v>
          </cell>
        </row>
        <row r="74">
          <cell r="A74" t="str">
            <v>Feb-18</v>
          </cell>
          <cell r="B74">
            <v>13000</v>
          </cell>
          <cell r="C74">
            <v>26000</v>
          </cell>
        </row>
        <row r="75">
          <cell r="A75" t="str">
            <v>Mar-18</v>
          </cell>
          <cell r="B75">
            <v>13000</v>
          </cell>
          <cell r="C75">
            <v>26000</v>
          </cell>
        </row>
        <row r="76">
          <cell r="A76" t="str">
            <v>Apr-18</v>
          </cell>
          <cell r="B76">
            <v>0</v>
          </cell>
          <cell r="C76">
            <v>0</v>
          </cell>
        </row>
        <row r="77">
          <cell r="A77" t="str">
            <v>May-18</v>
          </cell>
          <cell r="B77">
            <v>0</v>
          </cell>
          <cell r="C77">
            <v>0</v>
          </cell>
        </row>
        <row r="78">
          <cell r="A78" t="str">
            <v>June-18</v>
          </cell>
          <cell r="B78">
            <v>0</v>
          </cell>
          <cell r="C78">
            <v>0</v>
          </cell>
        </row>
        <row r="79">
          <cell r="A79" t="str">
            <v>July-18</v>
          </cell>
          <cell r="B79">
            <v>0</v>
          </cell>
          <cell r="C79">
            <v>0</v>
          </cell>
        </row>
        <row r="80">
          <cell r="A80" t="str">
            <v>Aug-18</v>
          </cell>
          <cell r="B80">
            <v>0</v>
          </cell>
          <cell r="C80">
            <v>0</v>
          </cell>
        </row>
        <row r="81">
          <cell r="A81" t="str">
            <v>Sept-18</v>
          </cell>
          <cell r="B81">
            <v>0</v>
          </cell>
          <cell r="C81">
            <v>0</v>
          </cell>
        </row>
        <row r="82">
          <cell r="A82" t="str">
            <v>Oct-18</v>
          </cell>
          <cell r="B82">
            <v>0</v>
          </cell>
          <cell r="C82">
            <v>0</v>
          </cell>
        </row>
        <row r="83">
          <cell r="A83" t="str">
            <v>Nov-18</v>
          </cell>
          <cell r="B83">
            <v>0</v>
          </cell>
          <cell r="C83">
            <v>0</v>
          </cell>
        </row>
        <row r="84">
          <cell r="A84" t="str">
            <v>Dec-18</v>
          </cell>
          <cell r="B84">
            <v>0</v>
          </cell>
          <cell r="C8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45"/>
  <sheetViews>
    <sheetView tabSelected="1" workbookViewId="0"/>
  </sheetViews>
  <sheetFormatPr baseColWidth="10" defaultRowHeight="16" x14ac:dyDescent="0.2"/>
  <cols>
    <col min="1" max="1" width="34.33203125" customWidth="1"/>
    <col min="2" max="2" width="13.1640625" bestFit="1" customWidth="1"/>
    <col min="5" max="5" width="9.83203125" customWidth="1"/>
    <col min="6" max="6" width="12.1640625" customWidth="1"/>
  </cols>
  <sheetData>
    <row r="3" spans="1:12" x14ac:dyDescent="0.2">
      <c r="A3" t="s">
        <v>0</v>
      </c>
      <c r="B3" t="s">
        <v>79</v>
      </c>
    </row>
    <row r="4" spans="1:12" x14ac:dyDescent="0.2">
      <c r="A4" t="s">
        <v>1</v>
      </c>
      <c r="B4" s="1">
        <v>0.05</v>
      </c>
      <c r="C4" t="s">
        <v>2</v>
      </c>
    </row>
    <row r="5" spans="1:12" x14ac:dyDescent="0.2">
      <c r="B5" s="2">
        <f>B4*455</f>
        <v>22.75</v>
      </c>
      <c r="C5" t="s">
        <v>3</v>
      </c>
    </row>
    <row r="6" spans="1:12" x14ac:dyDescent="0.2">
      <c r="B6" s="2"/>
    </row>
    <row r="7" spans="1:12" x14ac:dyDescent="0.2">
      <c r="A7" t="s">
        <v>4</v>
      </c>
      <c r="B7" s="6">
        <v>1000000</v>
      </c>
      <c r="C7" t="s">
        <v>40</v>
      </c>
    </row>
    <row r="8" spans="1:12" ht="31" x14ac:dyDescent="0.35">
      <c r="A8" t="s">
        <v>41</v>
      </c>
      <c r="B8" s="3">
        <v>0.05</v>
      </c>
      <c r="C8" t="s">
        <v>2</v>
      </c>
      <c r="L8" s="25" t="s">
        <v>78</v>
      </c>
    </row>
    <row r="9" spans="1:12" x14ac:dyDescent="0.2">
      <c r="A9" t="s">
        <v>42</v>
      </c>
      <c r="B9" s="7">
        <f>B8*B7</f>
        <v>50000</v>
      </c>
      <c r="C9" t="s">
        <v>40</v>
      </c>
    </row>
    <row r="10" spans="1:12" x14ac:dyDescent="0.2">
      <c r="B10" s="2"/>
    </row>
    <row r="11" spans="1:12" x14ac:dyDescent="0.2">
      <c r="A11" t="s">
        <v>12</v>
      </c>
      <c r="E11" s="30" t="s">
        <v>81</v>
      </c>
    </row>
    <row r="12" spans="1:12" x14ac:dyDescent="0.2">
      <c r="A12" t="s">
        <v>6</v>
      </c>
      <c r="B12" t="s">
        <v>7</v>
      </c>
      <c r="C12" t="s">
        <v>8</v>
      </c>
      <c r="E12" t="s">
        <v>14</v>
      </c>
      <c r="F12" t="s">
        <v>25</v>
      </c>
      <c r="G12" t="s">
        <v>82</v>
      </c>
      <c r="H12" t="s">
        <v>21</v>
      </c>
      <c r="I12" t="s">
        <v>31</v>
      </c>
      <c r="J12" t="s">
        <v>35</v>
      </c>
    </row>
    <row r="13" spans="1:12" x14ac:dyDescent="0.2">
      <c r="A13" t="s">
        <v>5</v>
      </c>
      <c r="B13">
        <v>350</v>
      </c>
      <c r="C13">
        <v>1998</v>
      </c>
      <c r="E13" t="s">
        <v>17</v>
      </c>
      <c r="F13" s="5">
        <v>0.2</v>
      </c>
      <c r="G13" s="5">
        <v>1000</v>
      </c>
      <c r="H13" s="11">
        <v>0</v>
      </c>
      <c r="I13" s="12">
        <v>0.01</v>
      </c>
      <c r="J13" s="13">
        <f>(G13-I13*G13-G14)/G13</f>
        <v>0.82</v>
      </c>
    </row>
    <row r="14" spans="1:12" x14ac:dyDescent="0.2">
      <c r="A14" t="s">
        <v>9</v>
      </c>
      <c r="B14">
        <v>50</v>
      </c>
      <c r="C14">
        <v>2011</v>
      </c>
      <c r="E14" t="s">
        <v>15</v>
      </c>
      <c r="F14" s="5">
        <v>1.5</v>
      </c>
      <c r="G14" s="5">
        <v>170</v>
      </c>
      <c r="H14" s="11">
        <v>1</v>
      </c>
      <c r="I14" s="12">
        <v>0.05</v>
      </c>
      <c r="J14" s="14">
        <f>(G14-I14*G14-G15)/G14</f>
        <v>0.59705882352941175</v>
      </c>
    </row>
    <row r="15" spans="1:12" x14ac:dyDescent="0.2">
      <c r="A15" t="s">
        <v>10</v>
      </c>
      <c r="B15">
        <v>25</v>
      </c>
      <c r="C15">
        <v>2009</v>
      </c>
      <c r="E15" t="s">
        <v>16</v>
      </c>
      <c r="F15" s="5">
        <v>10</v>
      </c>
      <c r="G15" s="5">
        <v>60</v>
      </c>
      <c r="H15" s="11">
        <v>2</v>
      </c>
      <c r="I15" s="12">
        <v>0.1</v>
      </c>
      <c r="J15" s="14">
        <f t="shared" ref="J15:J19" si="0">(G15-I15*G15-G16)/G15</f>
        <v>0.4</v>
      </c>
    </row>
    <row r="16" spans="1:12" x14ac:dyDescent="0.2">
      <c r="A16" t="s">
        <v>11</v>
      </c>
      <c r="B16">
        <v>20</v>
      </c>
      <c r="C16">
        <v>2012</v>
      </c>
      <c r="E16" t="s">
        <v>18</v>
      </c>
      <c r="F16" s="5">
        <v>50</v>
      </c>
      <c r="G16" s="5">
        <v>30</v>
      </c>
      <c r="H16" s="15" t="s">
        <v>22</v>
      </c>
      <c r="I16" s="12">
        <v>0.3</v>
      </c>
      <c r="J16" s="14">
        <f t="shared" si="0"/>
        <v>0.2</v>
      </c>
    </row>
    <row r="17" spans="1:17" x14ac:dyDescent="0.2">
      <c r="A17" t="s">
        <v>13</v>
      </c>
      <c r="B17">
        <v>10</v>
      </c>
      <c r="C17">
        <v>2011</v>
      </c>
      <c r="E17" t="s">
        <v>19</v>
      </c>
      <c r="F17" s="5">
        <v>150</v>
      </c>
      <c r="G17" s="5">
        <v>15</v>
      </c>
      <c r="H17" s="11" t="s">
        <v>24</v>
      </c>
      <c r="I17" s="12">
        <v>0.8</v>
      </c>
      <c r="J17" s="14">
        <f>(G17-I17*G17-G18)/G17</f>
        <v>0.13333333333333333</v>
      </c>
      <c r="K17" t="s">
        <v>29</v>
      </c>
    </row>
    <row r="18" spans="1:17" x14ac:dyDescent="0.2">
      <c r="E18" t="s">
        <v>20</v>
      </c>
      <c r="F18" s="5">
        <v>1000</v>
      </c>
      <c r="G18" s="5">
        <v>1</v>
      </c>
      <c r="H18" s="11" t="s">
        <v>23</v>
      </c>
      <c r="I18" s="12">
        <v>1</v>
      </c>
      <c r="J18" s="14">
        <v>0</v>
      </c>
      <c r="K18" t="s">
        <v>28</v>
      </c>
    </row>
    <row r="19" spans="1:17" x14ac:dyDescent="0.2">
      <c r="E19" t="s">
        <v>26</v>
      </c>
      <c r="F19" s="5">
        <v>20000</v>
      </c>
      <c r="G19" s="16">
        <v>0.09</v>
      </c>
      <c r="H19" s="5">
        <v>5</v>
      </c>
      <c r="I19" s="12">
        <v>1</v>
      </c>
      <c r="J19" s="14">
        <f t="shared" si="0"/>
        <v>0</v>
      </c>
      <c r="K19" t="s">
        <v>27</v>
      </c>
    </row>
    <row r="20" spans="1:17" x14ac:dyDescent="0.2">
      <c r="A20" s="29" t="s">
        <v>83</v>
      </c>
    </row>
    <row r="21" spans="1:17" x14ac:dyDescent="0.2">
      <c r="A21" s="2" t="s">
        <v>33</v>
      </c>
      <c r="B21" s="27">
        <v>2016</v>
      </c>
      <c r="C21" s="27">
        <v>2017</v>
      </c>
      <c r="D21" s="27">
        <v>2018</v>
      </c>
      <c r="E21" s="27">
        <v>2019</v>
      </c>
      <c r="F21" s="27">
        <v>2020</v>
      </c>
      <c r="G21" s="27">
        <v>2021</v>
      </c>
      <c r="H21" s="27">
        <v>2022</v>
      </c>
      <c r="I21" s="27">
        <v>2023</v>
      </c>
      <c r="J21" s="27">
        <v>2024</v>
      </c>
      <c r="K21" s="27">
        <v>2025</v>
      </c>
      <c r="L21" s="27">
        <v>2026</v>
      </c>
      <c r="M21" s="27">
        <v>2027</v>
      </c>
      <c r="N21" s="27">
        <v>2028</v>
      </c>
      <c r="O21" s="27">
        <v>2029</v>
      </c>
      <c r="P21" s="27">
        <v>2030</v>
      </c>
    </row>
    <row r="22" spans="1:17" x14ac:dyDescent="0.2">
      <c r="A22" s="28" t="s">
        <v>80</v>
      </c>
      <c r="B22" s="5">
        <v>100</v>
      </c>
      <c r="C22" s="5">
        <v>200</v>
      </c>
      <c r="D22" s="5">
        <v>300</v>
      </c>
      <c r="E22" s="5">
        <v>500</v>
      </c>
      <c r="F22" s="5">
        <v>800</v>
      </c>
      <c r="G22" s="5">
        <v>1000</v>
      </c>
      <c r="H22" s="5">
        <v>1200</v>
      </c>
      <c r="I22" s="5">
        <v>1200</v>
      </c>
      <c r="J22" s="5">
        <v>1200</v>
      </c>
      <c r="K22" s="5">
        <v>1200</v>
      </c>
      <c r="L22" s="5">
        <v>1200</v>
      </c>
      <c r="M22" s="5">
        <v>1200</v>
      </c>
      <c r="N22" s="5">
        <v>1200</v>
      </c>
      <c r="O22" s="5">
        <v>1200</v>
      </c>
      <c r="P22" s="5">
        <v>1200</v>
      </c>
    </row>
    <row r="23" spans="1:17" x14ac:dyDescent="0.2">
      <c r="A23" t="s">
        <v>15</v>
      </c>
      <c r="C23">
        <f>B22*$G$14/$G$13</f>
        <v>17</v>
      </c>
      <c r="D23">
        <f t="shared" ref="D23:P23" si="1">C22*$G$14/$G$13</f>
        <v>34</v>
      </c>
      <c r="E23">
        <f t="shared" si="1"/>
        <v>51</v>
      </c>
      <c r="F23">
        <f t="shared" si="1"/>
        <v>85</v>
      </c>
      <c r="G23">
        <f t="shared" si="1"/>
        <v>136</v>
      </c>
      <c r="H23">
        <f t="shared" si="1"/>
        <v>170</v>
      </c>
      <c r="I23">
        <f t="shared" si="1"/>
        <v>204</v>
      </c>
      <c r="J23">
        <f t="shared" si="1"/>
        <v>204</v>
      </c>
      <c r="K23">
        <f t="shared" si="1"/>
        <v>204</v>
      </c>
      <c r="L23">
        <f t="shared" si="1"/>
        <v>204</v>
      </c>
      <c r="M23">
        <f t="shared" si="1"/>
        <v>204</v>
      </c>
      <c r="N23">
        <f t="shared" si="1"/>
        <v>204</v>
      </c>
      <c r="O23">
        <f t="shared" si="1"/>
        <v>204</v>
      </c>
      <c r="P23">
        <f t="shared" si="1"/>
        <v>204</v>
      </c>
    </row>
    <row r="24" spans="1:17" x14ac:dyDescent="0.2">
      <c r="A24" t="s">
        <v>16</v>
      </c>
      <c r="D24">
        <f>C23*$G$15/$G$14</f>
        <v>6</v>
      </c>
      <c r="E24">
        <f t="shared" ref="E24:P24" si="2">D23*$G$15/$G$14</f>
        <v>12</v>
      </c>
      <c r="F24">
        <f t="shared" si="2"/>
        <v>18</v>
      </c>
      <c r="G24">
        <f t="shared" si="2"/>
        <v>30</v>
      </c>
      <c r="H24">
        <f t="shared" si="2"/>
        <v>48</v>
      </c>
      <c r="I24">
        <f t="shared" si="2"/>
        <v>60</v>
      </c>
      <c r="J24">
        <f t="shared" si="2"/>
        <v>72</v>
      </c>
      <c r="K24">
        <f t="shared" si="2"/>
        <v>72</v>
      </c>
      <c r="L24">
        <f t="shared" si="2"/>
        <v>72</v>
      </c>
      <c r="M24">
        <f t="shared" si="2"/>
        <v>72</v>
      </c>
      <c r="N24">
        <f t="shared" si="2"/>
        <v>72</v>
      </c>
      <c r="O24">
        <f t="shared" si="2"/>
        <v>72</v>
      </c>
      <c r="P24">
        <f t="shared" si="2"/>
        <v>72</v>
      </c>
    </row>
    <row r="25" spans="1:17" x14ac:dyDescent="0.2">
      <c r="A25" t="s">
        <v>18</v>
      </c>
      <c r="E25">
        <f>D24*$G$16/$G$15</f>
        <v>3</v>
      </c>
      <c r="F25">
        <f t="shared" ref="F25:P25" si="3">E24*$G$16/$G$15</f>
        <v>6</v>
      </c>
      <c r="G25">
        <f t="shared" si="3"/>
        <v>9</v>
      </c>
      <c r="H25">
        <f t="shared" si="3"/>
        <v>15</v>
      </c>
      <c r="I25">
        <f t="shared" si="3"/>
        <v>24</v>
      </c>
      <c r="J25">
        <f t="shared" si="3"/>
        <v>30</v>
      </c>
      <c r="K25">
        <f t="shared" si="3"/>
        <v>36</v>
      </c>
      <c r="L25">
        <f t="shared" si="3"/>
        <v>36</v>
      </c>
      <c r="M25">
        <f t="shared" si="3"/>
        <v>36</v>
      </c>
      <c r="N25">
        <f t="shared" si="3"/>
        <v>36</v>
      </c>
      <c r="O25">
        <f t="shared" si="3"/>
        <v>36</v>
      </c>
      <c r="P25">
        <f t="shared" si="3"/>
        <v>36</v>
      </c>
    </row>
    <row r="26" spans="1:17" ht="17" thickBot="1" x14ac:dyDescent="0.25">
      <c r="A26" t="s">
        <v>19</v>
      </c>
      <c r="F26">
        <f>E25*$G$17/$G$16</f>
        <v>1.5</v>
      </c>
      <c r="G26">
        <f t="shared" ref="G26:P26" si="4">F25*$G$17/$G$16</f>
        <v>3</v>
      </c>
      <c r="H26">
        <f t="shared" si="4"/>
        <v>4.5</v>
      </c>
      <c r="I26">
        <f t="shared" si="4"/>
        <v>7.5</v>
      </c>
      <c r="J26">
        <f t="shared" si="4"/>
        <v>12</v>
      </c>
      <c r="K26">
        <f t="shared" si="4"/>
        <v>15</v>
      </c>
      <c r="L26">
        <f t="shared" si="4"/>
        <v>18</v>
      </c>
      <c r="M26">
        <f t="shared" si="4"/>
        <v>18</v>
      </c>
      <c r="N26">
        <f t="shared" si="4"/>
        <v>18</v>
      </c>
      <c r="O26">
        <f t="shared" si="4"/>
        <v>18</v>
      </c>
      <c r="P26">
        <f t="shared" si="4"/>
        <v>18</v>
      </c>
    </row>
    <row r="27" spans="1:17" ht="17" thickBot="1" x14ac:dyDescent="0.25">
      <c r="A27" t="s">
        <v>20</v>
      </c>
      <c r="G27">
        <f>F26*$G$18/$G$17</f>
        <v>0.1</v>
      </c>
      <c r="H27">
        <f t="shared" ref="H27:P27" si="5">G26*$G$18/$G$17</f>
        <v>0.2</v>
      </c>
      <c r="I27">
        <f t="shared" si="5"/>
        <v>0.3</v>
      </c>
      <c r="J27">
        <f t="shared" si="5"/>
        <v>0.5</v>
      </c>
      <c r="K27">
        <f t="shared" si="5"/>
        <v>0.8</v>
      </c>
      <c r="L27" s="24">
        <f t="shared" si="5"/>
        <v>1</v>
      </c>
      <c r="M27">
        <f t="shared" si="5"/>
        <v>1.2</v>
      </c>
      <c r="N27">
        <f t="shared" si="5"/>
        <v>1.2</v>
      </c>
      <c r="O27">
        <f t="shared" si="5"/>
        <v>1.2</v>
      </c>
      <c r="P27">
        <f t="shared" si="5"/>
        <v>1.2</v>
      </c>
    </row>
    <row r="28" spans="1:17" x14ac:dyDescent="0.2">
      <c r="A28" t="s">
        <v>26</v>
      </c>
      <c r="G28" s="4">
        <f>F26*$G$19/$G$17</f>
        <v>9.0000000000000011E-3</v>
      </c>
      <c r="H28" s="4">
        <f t="shared" ref="H28:P28" si="6">G26*$G$19/$G$17</f>
        <v>1.8000000000000002E-2</v>
      </c>
      <c r="I28" s="4">
        <f t="shared" si="6"/>
        <v>2.7E-2</v>
      </c>
      <c r="J28" s="4">
        <f t="shared" si="6"/>
        <v>4.4999999999999998E-2</v>
      </c>
      <c r="K28" s="4">
        <f t="shared" si="6"/>
        <v>7.2000000000000008E-2</v>
      </c>
      <c r="L28" s="4">
        <f t="shared" si="6"/>
        <v>0.09</v>
      </c>
      <c r="M28" s="4">
        <f t="shared" si="6"/>
        <v>0.108</v>
      </c>
      <c r="N28" s="4">
        <f t="shared" si="6"/>
        <v>0.108</v>
      </c>
      <c r="O28" s="4">
        <f t="shared" si="6"/>
        <v>0.108</v>
      </c>
      <c r="P28" s="4">
        <f t="shared" si="6"/>
        <v>0.108</v>
      </c>
    </row>
    <row r="29" spans="1:17" x14ac:dyDescent="0.2">
      <c r="A29" s="2" t="s">
        <v>32</v>
      </c>
      <c r="B29" s="2">
        <f>SUMPRODUCT(B22:B28,$F$13:$F$19)</f>
        <v>20</v>
      </c>
      <c r="C29" s="2">
        <f>SUMPRODUCT(C22:C28,$F$13:$F$19)</f>
        <v>65.5</v>
      </c>
      <c r="D29" s="2">
        <f t="shared" ref="D29:P29" si="7">SUMPRODUCT(D22:D28,$F$13:$F$19)</f>
        <v>171</v>
      </c>
      <c r="E29" s="2">
        <f t="shared" si="7"/>
        <v>446.5</v>
      </c>
      <c r="F29" s="2">
        <f t="shared" si="7"/>
        <v>992.5</v>
      </c>
      <c r="G29" s="2">
        <f t="shared" si="7"/>
        <v>1884</v>
      </c>
      <c r="H29" s="2">
        <f t="shared" si="7"/>
        <v>2960</v>
      </c>
      <c r="I29" s="2">
        <f t="shared" si="7"/>
        <v>4311</v>
      </c>
      <c r="J29" s="2">
        <f t="shared" si="7"/>
        <v>5966</v>
      </c>
      <c r="K29" s="2">
        <f t="shared" si="7"/>
        <v>7556</v>
      </c>
      <c r="L29" s="2">
        <f t="shared" si="7"/>
        <v>8566</v>
      </c>
      <c r="M29" s="2">
        <f t="shared" si="7"/>
        <v>9126</v>
      </c>
      <c r="N29" s="2">
        <f t="shared" si="7"/>
        <v>9126</v>
      </c>
      <c r="O29" s="2">
        <f t="shared" si="7"/>
        <v>9126</v>
      </c>
      <c r="P29" s="2">
        <f t="shared" si="7"/>
        <v>9126</v>
      </c>
      <c r="Q29" t="s">
        <v>30</v>
      </c>
    </row>
    <row r="32" spans="1:17" x14ac:dyDescent="0.2">
      <c r="A32" s="2" t="s">
        <v>34</v>
      </c>
    </row>
    <row r="34" spans="1:18" x14ac:dyDescent="0.2">
      <c r="A34" t="s">
        <v>17</v>
      </c>
      <c r="B34">
        <f>B22</f>
        <v>100</v>
      </c>
      <c r="C34">
        <f>C22+B34*(1-$J13)</f>
        <v>218</v>
      </c>
      <c r="D34" s="6">
        <f>D22+C34*(1-$J$13)</f>
        <v>339.24</v>
      </c>
      <c r="E34" s="6">
        <f t="shared" ref="E34:P34" si="8">E22+D34*(1-$J$13)</f>
        <v>561.06320000000005</v>
      </c>
      <c r="F34" s="6">
        <f t="shared" si="8"/>
        <v>900.99137600000006</v>
      </c>
      <c r="G34" s="6">
        <f t="shared" si="8"/>
        <v>1162.1784476800001</v>
      </c>
      <c r="H34" s="6">
        <f t="shared" si="8"/>
        <v>1409.1921205824001</v>
      </c>
      <c r="I34" s="6">
        <f t="shared" si="8"/>
        <v>1453.654581704832</v>
      </c>
      <c r="J34" s="6">
        <f t="shared" si="8"/>
        <v>1461.6578247068699</v>
      </c>
      <c r="K34" s="6">
        <f t="shared" si="8"/>
        <v>1463.0984084472366</v>
      </c>
      <c r="L34" s="26">
        <f>L22+K34*(1-$J$13)</f>
        <v>1463.3577135205028</v>
      </c>
      <c r="M34" s="6">
        <f t="shared" si="8"/>
        <v>1463.4043884336907</v>
      </c>
      <c r="N34" s="6">
        <f t="shared" si="8"/>
        <v>1463.4127899180644</v>
      </c>
      <c r="O34" s="6">
        <f t="shared" si="8"/>
        <v>1463.4143021852517</v>
      </c>
      <c r="P34" s="6">
        <f t="shared" si="8"/>
        <v>1463.4145743933454</v>
      </c>
    </row>
    <row r="35" spans="1:18" x14ac:dyDescent="0.2">
      <c r="A35" t="s">
        <v>15</v>
      </c>
      <c r="C35" s="6">
        <f>C23+B35*(1-$J14)</f>
        <v>17</v>
      </c>
      <c r="D35" s="6">
        <f t="shared" ref="D35:P35" si="9">D23+C35*(1-$J14)</f>
        <v>40.85</v>
      </c>
      <c r="E35" s="6">
        <f t="shared" si="9"/>
        <v>67.460147058823537</v>
      </c>
      <c r="F35" s="6">
        <f t="shared" si="9"/>
        <v>112.18247102076126</v>
      </c>
      <c r="G35" s="6">
        <f t="shared" si="9"/>
        <v>181.20293685248322</v>
      </c>
      <c r="H35" s="6">
        <f t="shared" si="9"/>
        <v>243.01412455526531</v>
      </c>
      <c r="I35" s="6">
        <f t="shared" si="9"/>
        <v>301.92039724726868</v>
      </c>
      <c r="J35" s="6">
        <f t="shared" si="9"/>
        <v>325.6561600672818</v>
      </c>
      <c r="K35" s="6">
        <f t="shared" si="9"/>
        <v>335.2202762624047</v>
      </c>
      <c r="L35" s="6">
        <f t="shared" si="9"/>
        <v>339.07405249396896</v>
      </c>
      <c r="M35" s="6">
        <f t="shared" si="9"/>
        <v>340.62689762256986</v>
      </c>
      <c r="N35" s="6">
        <f t="shared" si="9"/>
        <v>341.25260286556488</v>
      </c>
      <c r="O35" s="6">
        <f t="shared" si="9"/>
        <v>341.50472527230113</v>
      </c>
      <c r="P35" s="6">
        <f t="shared" si="9"/>
        <v>341.60631577148604</v>
      </c>
    </row>
    <row r="36" spans="1:18" x14ac:dyDescent="0.2">
      <c r="A36" t="s">
        <v>16</v>
      </c>
      <c r="C36" s="6">
        <f>C24+B36*(1-$J15)</f>
        <v>0</v>
      </c>
      <c r="D36" s="6">
        <f>D24+C36*(1-$J15)</f>
        <v>6</v>
      </c>
      <c r="E36" s="6">
        <f t="shared" ref="E36:P36" si="10">E24+D36*(1-$J15)</f>
        <v>15.6</v>
      </c>
      <c r="F36" s="6">
        <f t="shared" si="10"/>
        <v>27.36</v>
      </c>
      <c r="G36" s="6">
        <f t="shared" si="10"/>
        <v>46.415999999999997</v>
      </c>
      <c r="H36" s="6">
        <f t="shared" si="10"/>
        <v>75.849599999999995</v>
      </c>
      <c r="I36" s="6">
        <f t="shared" si="10"/>
        <v>105.50976</v>
      </c>
      <c r="J36" s="6">
        <f t="shared" si="10"/>
        <v>135.30585600000001</v>
      </c>
      <c r="K36" s="6">
        <f t="shared" si="10"/>
        <v>153.1835136</v>
      </c>
      <c r="L36" s="6">
        <f t="shared" si="10"/>
        <v>163.91010815999999</v>
      </c>
      <c r="M36" s="6">
        <f t="shared" si="10"/>
        <v>170.34606489599997</v>
      </c>
      <c r="N36" s="6">
        <f t="shared" si="10"/>
        <v>174.2076389376</v>
      </c>
      <c r="O36" s="6">
        <f t="shared" si="10"/>
        <v>176.52458336256001</v>
      </c>
      <c r="P36" s="6">
        <f t="shared" si="10"/>
        <v>177.91475001753599</v>
      </c>
    </row>
    <row r="37" spans="1:18" x14ac:dyDescent="0.2">
      <c r="A37" t="s">
        <v>18</v>
      </c>
      <c r="C37" s="6">
        <f t="shared" ref="C37:P37" si="11">C25+B37*(1-$J16)</f>
        <v>0</v>
      </c>
      <c r="D37" s="6">
        <f t="shared" si="11"/>
        <v>0</v>
      </c>
      <c r="E37" s="6">
        <f t="shared" si="11"/>
        <v>3</v>
      </c>
      <c r="F37" s="6">
        <f t="shared" si="11"/>
        <v>8.4</v>
      </c>
      <c r="G37" s="6">
        <f t="shared" si="11"/>
        <v>15.72</v>
      </c>
      <c r="H37" s="6">
        <f t="shared" si="11"/>
        <v>27.576000000000001</v>
      </c>
      <c r="I37" s="6">
        <f t="shared" si="11"/>
        <v>46.0608</v>
      </c>
      <c r="J37" s="6">
        <f t="shared" si="11"/>
        <v>66.848640000000003</v>
      </c>
      <c r="K37" s="6">
        <f t="shared" si="11"/>
        <v>89.478912000000008</v>
      </c>
      <c r="L37" s="6">
        <f t="shared" si="11"/>
        <v>107.58312960000001</v>
      </c>
      <c r="M37" s="6">
        <f t="shared" si="11"/>
        <v>122.06650368000001</v>
      </c>
      <c r="N37" s="6">
        <f t="shared" si="11"/>
        <v>133.65320294400001</v>
      </c>
      <c r="O37" s="6">
        <f t="shared" si="11"/>
        <v>142.9225623552</v>
      </c>
      <c r="P37" s="6">
        <f t="shared" si="11"/>
        <v>150.33804988416</v>
      </c>
    </row>
    <row r="38" spans="1:18" x14ac:dyDescent="0.2">
      <c r="A38" t="s">
        <v>19</v>
      </c>
      <c r="C38" s="6">
        <f t="shared" ref="C38:P38" si="12">C26+B38*(1-$J17)</f>
        <v>0</v>
      </c>
      <c r="D38" s="6">
        <f t="shared" si="12"/>
        <v>0</v>
      </c>
      <c r="E38" s="6">
        <f t="shared" si="12"/>
        <v>0</v>
      </c>
      <c r="F38" s="6">
        <f t="shared" si="12"/>
        <v>1.5</v>
      </c>
      <c r="G38" s="6">
        <f t="shared" si="12"/>
        <v>4.3</v>
      </c>
      <c r="H38" s="6">
        <f t="shared" si="12"/>
        <v>8.2266666666666666</v>
      </c>
      <c r="I38" s="6">
        <f t="shared" si="12"/>
        <v>14.629777777777779</v>
      </c>
      <c r="J38" s="6">
        <f t="shared" si="12"/>
        <v>24.679140740740742</v>
      </c>
      <c r="K38" s="6">
        <f t="shared" si="12"/>
        <v>36.388588641975311</v>
      </c>
      <c r="L38" s="6">
        <f t="shared" si="12"/>
        <v>49.536776823045273</v>
      </c>
      <c r="M38" s="6">
        <f t="shared" si="12"/>
        <v>60.931873246639235</v>
      </c>
      <c r="N38" s="6">
        <f t="shared" si="12"/>
        <v>70.807623480420673</v>
      </c>
      <c r="O38" s="6">
        <f t="shared" si="12"/>
        <v>79.366607016364583</v>
      </c>
      <c r="P38" s="6">
        <f t="shared" si="12"/>
        <v>86.78439274751598</v>
      </c>
    </row>
    <row r="39" spans="1:18" x14ac:dyDescent="0.2">
      <c r="A39" t="s">
        <v>20</v>
      </c>
      <c r="C39" s="6">
        <f t="shared" ref="C39:P40" si="13">C27+B39*(1-$J18)</f>
        <v>0</v>
      </c>
      <c r="D39" s="6">
        <f t="shared" si="13"/>
        <v>0</v>
      </c>
      <c r="E39" s="6">
        <f t="shared" si="13"/>
        <v>0</v>
      </c>
      <c r="F39" s="6">
        <f t="shared" si="13"/>
        <v>0</v>
      </c>
      <c r="G39" s="6">
        <f t="shared" si="13"/>
        <v>0.1</v>
      </c>
      <c r="H39" s="6">
        <f t="shared" si="13"/>
        <v>0.30000000000000004</v>
      </c>
      <c r="I39" s="6">
        <f t="shared" si="13"/>
        <v>0.60000000000000009</v>
      </c>
      <c r="J39" s="6">
        <f t="shared" si="13"/>
        <v>1.1000000000000001</v>
      </c>
      <c r="K39" s="6">
        <f t="shared" si="13"/>
        <v>1.9000000000000001</v>
      </c>
      <c r="L39" s="6">
        <f t="shared" si="13"/>
        <v>2.9000000000000004</v>
      </c>
      <c r="M39" s="6">
        <f t="shared" si="13"/>
        <v>4.1000000000000005</v>
      </c>
      <c r="N39" s="6">
        <f t="shared" si="13"/>
        <v>5.3000000000000007</v>
      </c>
      <c r="O39" s="6">
        <f t="shared" si="13"/>
        <v>6.5000000000000009</v>
      </c>
      <c r="P39" s="6">
        <f t="shared" si="13"/>
        <v>7.7000000000000011</v>
      </c>
    </row>
    <row r="40" spans="1:18" x14ac:dyDescent="0.2">
      <c r="A40" t="s">
        <v>26</v>
      </c>
      <c r="C40" s="6">
        <f>C28+B40*(1-$J19)</f>
        <v>0</v>
      </c>
      <c r="D40" s="6">
        <f>D28+C40*(1-$J19)</f>
        <v>0</v>
      </c>
      <c r="E40" s="6">
        <f t="shared" si="13"/>
        <v>0</v>
      </c>
      <c r="F40" s="6">
        <f t="shared" si="13"/>
        <v>0</v>
      </c>
      <c r="G40" s="6">
        <f t="shared" si="13"/>
        <v>9.0000000000000011E-3</v>
      </c>
      <c r="H40" s="6">
        <f t="shared" si="13"/>
        <v>2.7000000000000003E-2</v>
      </c>
      <c r="I40" s="6">
        <f t="shared" si="13"/>
        <v>5.4000000000000006E-2</v>
      </c>
      <c r="J40" s="6">
        <f t="shared" si="13"/>
        <v>9.9000000000000005E-2</v>
      </c>
      <c r="K40" s="6">
        <f t="shared" si="13"/>
        <v>0.17100000000000001</v>
      </c>
      <c r="L40" s="6">
        <f t="shared" si="13"/>
        <v>0.26100000000000001</v>
      </c>
      <c r="M40" s="6">
        <f t="shared" si="13"/>
        <v>0.36899999999999999</v>
      </c>
      <c r="N40" s="6">
        <f t="shared" si="13"/>
        <v>0.47699999999999998</v>
      </c>
      <c r="O40" s="6">
        <f t="shared" si="13"/>
        <v>0.58499999999999996</v>
      </c>
      <c r="P40" s="6">
        <f t="shared" si="13"/>
        <v>0.69299999999999995</v>
      </c>
    </row>
    <row r="42" spans="1:18" x14ac:dyDescent="0.2">
      <c r="A42" s="2" t="s">
        <v>36</v>
      </c>
      <c r="C42" s="6">
        <f>SUMPRODUCT(B34:B38,$F13:$F17,$I13:$I17)</f>
        <v>0.2</v>
      </c>
      <c r="D42" s="6">
        <f t="shared" ref="D42:P42" si="14">SUMPRODUCT(C34:C38,$F13:$F17,$I13:$I17)</f>
        <v>1.7110000000000001</v>
      </c>
      <c r="E42" s="6">
        <f t="shared" si="14"/>
        <v>9.7422300000000011</v>
      </c>
      <c r="F42" s="6">
        <f t="shared" si="14"/>
        <v>66.781637429411774</v>
      </c>
      <c r="G42" s="6">
        <f t="shared" si="14"/>
        <v>343.5756680785571</v>
      </c>
      <c r="H42" s="6">
        <f t="shared" si="14"/>
        <v>814.13057715929619</v>
      </c>
      <c r="I42" s="6">
        <f t="shared" si="14"/>
        <v>1497.7340435828096</v>
      </c>
      <c r="J42" s="6">
        <f t="shared" si="14"/>
        <v>2577.5464322902881</v>
      </c>
      <c r="K42" s="6">
        <f t="shared" si="14"/>
        <v>4126.8798725433489</v>
      </c>
      <c r="L42" s="6">
        <f t="shared" si="14"/>
        <v>5890.0655481736121</v>
      </c>
      <c r="M42" s="6">
        <f t="shared" si="14"/>
        <v>7750.4275402895219</v>
      </c>
      <c r="N42" s="6">
        <f t="shared" si="14"/>
        <v>9341.6422357912688</v>
      </c>
      <c r="O42" s="6">
        <f t="shared" si="14"/>
        <v>10704.441271542833</v>
      </c>
      <c r="P42" s="9">
        <f t="shared" si="14"/>
        <v>11872.895543654102</v>
      </c>
      <c r="Q42" s="7">
        <f>SUM(B42:P42)</f>
        <v>54997.773600535045</v>
      </c>
      <c r="R42" t="s">
        <v>38</v>
      </c>
    </row>
    <row r="43" spans="1:18" x14ac:dyDescent="0.2">
      <c r="A43" s="2" t="s">
        <v>43</v>
      </c>
      <c r="P43" s="9">
        <f>SUMPRODUCT(P39:P40,F18:F19)</f>
        <v>21560</v>
      </c>
      <c r="Q43" s="8">
        <f>P43</f>
        <v>21560</v>
      </c>
      <c r="R43" t="s">
        <v>39</v>
      </c>
    </row>
    <row r="44" spans="1:18" x14ac:dyDescent="0.2">
      <c r="Q44" s="8">
        <f>Q43+Q42</f>
        <v>76557.773600535045</v>
      </c>
      <c r="R44" t="s">
        <v>37</v>
      </c>
    </row>
    <row r="45" spans="1:18" x14ac:dyDescent="0.2">
      <c r="Q45" s="10">
        <f>Q44/B7</f>
        <v>7.6557773600535048E-2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H17"/>
  <sheetViews>
    <sheetView topLeftCell="A10" workbookViewId="0">
      <selection activeCell="E13" sqref="E13"/>
    </sheetView>
  </sheetViews>
  <sheetFormatPr baseColWidth="10" defaultRowHeight="16" x14ac:dyDescent="0.2"/>
  <cols>
    <col min="1" max="1" width="4.6640625" customWidth="1"/>
    <col min="2" max="2" width="13.33203125" customWidth="1"/>
    <col min="3" max="7" width="35.5" customWidth="1"/>
    <col min="8" max="8" width="32.5" customWidth="1"/>
  </cols>
  <sheetData>
    <row r="9" spans="2:8" x14ac:dyDescent="0.2">
      <c r="C9" s="21" t="s">
        <v>44</v>
      </c>
      <c r="D9" s="21" t="s">
        <v>45</v>
      </c>
      <c r="E9" s="21" t="s">
        <v>46</v>
      </c>
      <c r="F9" s="21" t="s">
        <v>47</v>
      </c>
      <c r="G9" s="21" t="s">
        <v>48</v>
      </c>
      <c r="H9" s="21" t="s">
        <v>49</v>
      </c>
    </row>
    <row r="10" spans="2:8" ht="85" x14ac:dyDescent="0.2">
      <c r="B10" s="17" t="s">
        <v>50</v>
      </c>
      <c r="C10" s="22" t="s">
        <v>57</v>
      </c>
      <c r="D10" s="22" t="s">
        <v>52</v>
      </c>
      <c r="E10" s="22"/>
      <c r="F10" s="22"/>
      <c r="G10" s="22" t="s">
        <v>68</v>
      </c>
      <c r="H10" s="22"/>
    </row>
    <row r="11" spans="2:8" ht="68" x14ac:dyDescent="0.2">
      <c r="B11" s="18"/>
      <c r="C11" s="23" t="s">
        <v>67</v>
      </c>
      <c r="D11" s="22" t="s">
        <v>57</v>
      </c>
      <c r="E11" s="22"/>
      <c r="F11" s="22"/>
      <c r="G11" s="22" t="s">
        <v>69</v>
      </c>
      <c r="H11" s="22"/>
    </row>
    <row r="12" spans="2:8" ht="17" x14ac:dyDescent="0.2">
      <c r="B12" s="18"/>
      <c r="C12" s="22" t="s">
        <v>60</v>
      </c>
      <c r="D12" s="22" t="s">
        <v>60</v>
      </c>
      <c r="E12" s="22"/>
      <c r="F12" s="22"/>
      <c r="G12" s="22"/>
      <c r="H12" s="22"/>
    </row>
    <row r="13" spans="2:8" ht="68" x14ac:dyDescent="0.2">
      <c r="B13" s="19" t="s">
        <v>51</v>
      </c>
      <c r="C13" s="22" t="s">
        <v>54</v>
      </c>
      <c r="D13" s="22" t="s">
        <v>53</v>
      </c>
      <c r="E13" s="22" t="s">
        <v>56</v>
      </c>
      <c r="F13" s="22" t="s">
        <v>58</v>
      </c>
      <c r="G13" s="22" t="s">
        <v>70</v>
      </c>
      <c r="H13" s="22" t="s">
        <v>61</v>
      </c>
    </row>
    <row r="14" spans="2:8" ht="51" x14ac:dyDescent="0.2">
      <c r="B14" s="20"/>
      <c r="C14" s="22" t="s">
        <v>63</v>
      </c>
      <c r="D14" s="22" t="s">
        <v>55</v>
      </c>
      <c r="E14" s="22" t="s">
        <v>73</v>
      </c>
      <c r="F14" s="22" t="s">
        <v>59</v>
      </c>
      <c r="G14" s="23" t="s">
        <v>71</v>
      </c>
      <c r="H14" s="22" t="s">
        <v>62</v>
      </c>
    </row>
    <row r="15" spans="2:8" ht="68" x14ac:dyDescent="0.2">
      <c r="B15" s="20"/>
      <c r="C15" s="22" t="s">
        <v>64</v>
      </c>
      <c r="D15" s="22" t="s">
        <v>74</v>
      </c>
      <c r="E15" s="22"/>
      <c r="F15" s="22" t="s">
        <v>66</v>
      </c>
      <c r="G15" s="22"/>
    </row>
    <row r="16" spans="2:8" ht="51" x14ac:dyDescent="0.2">
      <c r="B16" s="20"/>
      <c r="C16" s="22" t="s">
        <v>65</v>
      </c>
      <c r="D16" s="22" t="s">
        <v>77</v>
      </c>
      <c r="E16" s="22"/>
      <c r="F16" s="22" t="s">
        <v>75</v>
      </c>
      <c r="G16" s="22"/>
      <c r="H16" s="22"/>
    </row>
    <row r="17" spans="2:8" ht="51" x14ac:dyDescent="0.2">
      <c r="B17" s="20"/>
      <c r="C17" s="22" t="s">
        <v>72</v>
      </c>
      <c r="D17" s="22" t="s">
        <v>76</v>
      </c>
      <c r="E17" s="22"/>
      <c r="F17" s="22"/>
      <c r="G17" s="22"/>
      <c r="H17" s="2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CFB-774D-BA4C-B7C4-458BD7FEC35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economy</vt:lpstr>
      <vt:lpstr>Talent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Anix Lynch</cp:lastModifiedBy>
  <dcterms:created xsi:type="dcterms:W3CDTF">2015-08-02T09:05:23Z</dcterms:created>
  <dcterms:modified xsi:type="dcterms:W3CDTF">2019-01-20T16:36:17Z</dcterms:modified>
</cp:coreProperties>
</file>
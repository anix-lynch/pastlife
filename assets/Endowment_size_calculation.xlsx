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70" yWindow="4035" windowWidth="20730" windowHeight="11700" tabRatio="500" firstSheet="4" activeTab="5" autoFilterDateGrouping="1"/>
  </bookViews>
  <sheets>
    <sheet xmlns:r="http://schemas.openxmlformats.org/officeDocument/2006/relationships" name="Sheet1 (3)" sheetId="1" state="hidden" r:id="rId1"/>
    <sheet xmlns:r="http://schemas.openxmlformats.org/officeDocument/2006/relationships" name="Sheet1 (2)" sheetId="2" state="hidden" r:id="rId2"/>
    <sheet xmlns:r="http://schemas.openxmlformats.org/officeDocument/2006/relationships" name="Sheet1" sheetId="3" state="hidden" r:id="rId3"/>
    <sheet xmlns:r="http://schemas.openxmlformats.org/officeDocument/2006/relationships" name="Sheet2" sheetId="4" state="hidden" r:id="rId4"/>
    <sheet xmlns:r="http://schemas.openxmlformats.org/officeDocument/2006/relationships" name="Sheet3" sheetId="5" state="visible" r:id="rId5"/>
    <sheet xmlns:r="http://schemas.openxmlformats.org/officeDocument/2006/relationships" name="Sheet4" sheetId="6" state="visible" r:id="rId6"/>
  </sheets>
  <definedNames/>
  <calcPr calcId="144525" fullCalcOnLoad="1"/>
</workbook>
</file>

<file path=xl/styles.xml><?xml version="1.0" encoding="utf-8"?>
<styleSheet xmlns="http://schemas.openxmlformats.org/spreadsheetml/2006/main">
  <numFmts count="5">
    <numFmt numFmtId="164" formatCode="_(* #,##0_);_(* \(#,##0\);_(* &quot;-&quot;??_);_(@_)"/>
    <numFmt numFmtId="165" formatCode="_-* #,##0.00_-;\-* #,##0.00_-;_-* &quot;-&quot;??_-;_-@_-"/>
    <numFmt numFmtId="166" formatCode="_-* #,##0_-;\-* #,##0_-;_-* &quot;-&quot;??_-;_-@_-"/>
    <numFmt numFmtId="167" formatCode="0.0"/>
    <numFmt numFmtId="168" formatCode="0.0%"/>
  </numFmts>
  <fonts count="16">
    <font>
      <name val="Calibri"/>
      <family val="2"/>
      <color theme="1"/>
      <sz val="12"/>
      <scheme val="minor"/>
    </font>
    <font>
      <name val="Calibri"/>
      <charset val="222"/>
      <family val="2"/>
      <color theme="1"/>
      <sz val="11"/>
      <scheme val="minor"/>
    </font>
    <font>
      <name val="Calibri"/>
      <charset val="222"/>
      <family val="2"/>
      <color theme="1"/>
      <sz val="11"/>
      <scheme val="minor"/>
    </font>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color theme="4"/>
      <sz val="12"/>
      <scheme val="minor"/>
    </font>
    <font>
      <name val="Calibri"/>
      <family val="2"/>
      <sz val="12"/>
      <scheme val="minor"/>
    </font>
    <font>
      <name val="Arial"/>
      <family val="2"/>
      <color theme="1"/>
      <sz val="10"/>
    </font>
    <font>
      <name val="Arial"/>
      <family val="2"/>
      <color rgb="FFFF0000"/>
      <sz val="10"/>
    </font>
    <font>
      <name val="Calibri"/>
      <family val="2"/>
      <b val="1"/>
      <i val="1"/>
      <color theme="1"/>
      <sz val="12"/>
      <u val="single"/>
      <scheme val="minor"/>
    </font>
    <font>
      <name val="Tahoma"/>
      <family val="2"/>
      <color rgb="FF574123"/>
      <sz val="10"/>
    </font>
    <font>
      <name val="Courier New"/>
      <family val="3"/>
      <color rgb="FF574123"/>
      <sz val="9"/>
    </font>
    <font>
      <name val="Calibri"/>
      <charset val="222"/>
      <family val="2"/>
      <color theme="1"/>
      <sz val="10"/>
      <scheme val="minor"/>
    </font>
    <font>
      <name val="Calibri"/>
      <charset val="222"/>
      <family val="2"/>
      <color theme="1"/>
      <sz val="10"/>
      <u val="singleAccounting"/>
      <scheme val="minor"/>
    </font>
  </fonts>
  <fills count="4">
    <fill>
      <patternFill/>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8">
    <xf numFmtId="0" fontId="3" fillId="0" borderId="0"/>
    <xf numFmtId="43" fontId="3" fillId="0" borderId="0"/>
    <xf numFmtId="0" fontId="5" fillId="0" borderId="0"/>
    <xf numFmtId="0" fontId="6" fillId="0" borderId="0"/>
    <xf numFmtId="0" fontId="2" fillId="0" borderId="0"/>
    <xf numFmtId="43" fontId="2" fillId="0" borderId="0"/>
    <xf numFmtId="9" fontId="3" fillId="0" borderId="0"/>
    <xf numFmtId="0" fontId="2" fillId="0" borderId="0"/>
  </cellStyleXfs>
  <cellXfs count="79">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horizontal="left" indent="1"/>
    </xf>
    <xf numFmtId="9" fontId="7" fillId="0" borderId="0" pivotButton="0" quotePrefix="0" xfId="0"/>
    <xf numFmtId="164" fontId="7" fillId="0" borderId="0" pivotButton="0" quotePrefix="0" xfId="1"/>
    <xf numFmtId="164" fontId="8" fillId="0" borderId="0" pivotButton="0" quotePrefix="0" xfId="1"/>
    <xf numFmtId="0" fontId="7" fillId="0" borderId="0" pivotButton="0" quotePrefix="0" xfId="0"/>
    <xf numFmtId="164" fontId="0" fillId="0" borderId="0" pivotButton="0" quotePrefix="0" xfId="1"/>
    <xf numFmtId="164" fontId="0" fillId="0" borderId="0" pivotButton="0" quotePrefix="0" xfId="0"/>
    <xf numFmtId="0" fontId="0" fillId="0" borderId="0" applyAlignment="1" pivotButton="0" quotePrefix="0" xfId="0">
      <alignment wrapText="1"/>
    </xf>
    <xf numFmtId="0" fontId="4" fillId="0" borderId="0" pivotButton="0" quotePrefix="0" xfId="0"/>
    <xf numFmtId="9" fontId="0" fillId="0" borderId="0" pivotButton="0" quotePrefix="0" xfId="0"/>
    <xf numFmtId="0" fontId="9" fillId="0" borderId="0" applyAlignment="1" pivotButton="0" quotePrefix="0" xfId="0">
      <alignment vertical="center"/>
    </xf>
    <xf numFmtId="0" fontId="10" fillId="0" borderId="0" applyAlignment="1" pivotButton="0" quotePrefix="0" xfId="0">
      <alignment vertical="center"/>
    </xf>
    <xf numFmtId="165" fontId="0" fillId="0" borderId="0" pivotButton="0" quotePrefix="0" xfId="1"/>
    <xf numFmtId="0" fontId="11" fillId="0" borderId="0" pivotButton="0" quotePrefix="0" xfId="0"/>
    <xf numFmtId="43" fontId="0" fillId="0" borderId="0" pivotButton="0" quotePrefix="0" xfId="1"/>
    <xf numFmtId="0" fontId="12" fillId="0" borderId="0" applyAlignment="1" pivotButton="0" quotePrefix="0" xfId="32">
      <alignment horizontal="left" vertical="center" indent="2"/>
    </xf>
    <xf numFmtId="0" fontId="2" fillId="0" borderId="0" pivotButton="0" quotePrefix="0" xfId="32"/>
    <xf numFmtId="0" fontId="13" fillId="0" borderId="0" applyAlignment="1" pivotButton="0" quotePrefix="0" xfId="32">
      <alignment horizontal="left" vertical="center" readingOrder="1"/>
    </xf>
    <xf numFmtId="0" fontId="2" fillId="0" borderId="0" pivotButton="0" quotePrefix="0" xfId="32"/>
    <xf numFmtId="0" fontId="12" fillId="0" borderId="0" applyAlignment="1" pivotButton="0" quotePrefix="0" xfId="32">
      <alignment horizontal="left" vertical="center" indent="2"/>
    </xf>
    <xf numFmtId="1" fontId="2" fillId="0" borderId="0" pivotButton="0" quotePrefix="0" xfId="32"/>
    <xf numFmtId="166" fontId="0" fillId="0" borderId="0" pivotButton="0" quotePrefix="0" xfId="33"/>
    <xf numFmtId="165" fontId="2" fillId="0" borderId="0" pivotButton="0" quotePrefix="0" xfId="32"/>
    <xf numFmtId="43" fontId="14" fillId="0" borderId="0" pivotButton="0" quotePrefix="0" xfId="1"/>
    <xf numFmtId="164" fontId="14" fillId="0" borderId="0" pivotButton="0" quotePrefix="0" xfId="1"/>
    <xf numFmtId="43" fontId="15" fillId="0" borderId="0" pivotButton="0" quotePrefix="0" xfId="1"/>
    <xf numFmtId="0" fontId="0" fillId="2" borderId="0" pivotButton="0" quotePrefix="0" xfId="0"/>
    <xf numFmtId="164" fontId="0" fillId="2" borderId="0" pivotButton="0" quotePrefix="0" xfId="1"/>
    <xf numFmtId="0" fontId="1" fillId="0" borderId="0" pivotButton="0" quotePrefix="0" xfId="32"/>
    <xf numFmtId="164" fontId="2" fillId="0" borderId="0" pivotButton="0" quotePrefix="0" xfId="1"/>
    <xf numFmtId="9" fontId="2" fillId="0" borderId="0" pivotButton="0" quotePrefix="0" xfId="34"/>
    <xf numFmtId="165" fontId="0" fillId="0" borderId="0" pivotButton="0" quotePrefix="0" xfId="0"/>
    <xf numFmtId="2" fontId="0" fillId="0" borderId="0" pivotButton="0" quotePrefix="0" xfId="0"/>
    <xf numFmtId="167" fontId="0" fillId="0" borderId="0" pivotButton="0" quotePrefix="0" xfId="0"/>
    <xf numFmtId="166" fontId="0" fillId="0" borderId="0" pivotButton="0" quotePrefix="0" xfId="0"/>
    <xf numFmtId="168" fontId="7" fillId="0" borderId="0" pivotButton="0" quotePrefix="0" xfId="0"/>
    <xf numFmtId="1" fontId="7" fillId="0" borderId="0" pivotButton="0" quotePrefix="0" xfId="0"/>
    <xf numFmtId="166" fontId="0" fillId="2" borderId="0" pivotButton="0" quotePrefix="0" xfId="0"/>
    <xf numFmtId="164" fontId="0" fillId="2" borderId="0" pivotButton="0" quotePrefix="0" xfId="0"/>
    <xf numFmtId="164" fontId="0" fillId="3" borderId="0" pivotButton="0" quotePrefix="0" xfId="0"/>
    <xf numFmtId="164" fontId="0" fillId="0" borderId="0" pivotButton="0" quotePrefix="0" xfId="0"/>
    <xf numFmtId="164" fontId="0" fillId="3" borderId="0" pivotButton="0" quotePrefix="0" xfId="1"/>
    <xf numFmtId="164" fontId="0" fillId="2" borderId="1" pivotButton="0" quotePrefix="0" xfId="1"/>
    <xf numFmtId="0" fontId="0" fillId="0" borderId="0" pivotButton="0" quotePrefix="0" xfId="0"/>
    <xf numFmtId="164" fontId="0" fillId="0" borderId="0" pivotButton="0" quotePrefix="0" xfId="1"/>
    <xf numFmtId="166" fontId="0" fillId="0" borderId="0" pivotButton="0" quotePrefix="0" xfId="0"/>
    <xf numFmtId="167" fontId="0" fillId="0" borderId="0" pivotButton="0" quotePrefix="0" xfId="0"/>
    <xf numFmtId="164" fontId="0" fillId="0" borderId="0" pivotButton="0" quotePrefix="0" xfId="0"/>
    <xf numFmtId="2" fontId="0" fillId="0" borderId="0" pivotButton="0" quotePrefix="0" xfId="0"/>
    <xf numFmtId="164" fontId="0" fillId="3" borderId="0" pivotButton="0" quotePrefix="0" xfId="1"/>
    <xf numFmtId="164" fontId="0" fillId="3" borderId="0" pivotButton="0" quotePrefix="0" xfId="0"/>
    <xf numFmtId="0" fontId="0" fillId="0" borderId="2" pivotButton="0" quotePrefix="0" xfId="0"/>
    <xf numFmtId="164" fontId="0" fillId="0" borderId="2" pivotButton="0" quotePrefix="0" xfId="0"/>
    <xf numFmtId="2" fontId="0" fillId="0" borderId="2" applyAlignment="1" pivotButton="0" quotePrefix="0" xfId="0">
      <alignment wrapText="1"/>
    </xf>
    <xf numFmtId="0" fontId="1" fillId="0" borderId="0" pivotButton="0" quotePrefix="0" xfId="35"/>
    <xf numFmtId="0" fontId="0" fillId="0" borderId="0" pivotButton="0" quotePrefix="0" xfId="0"/>
    <xf numFmtId="9" fontId="0" fillId="0" borderId="0" pivotButton="0" quotePrefix="0" xfId="34"/>
    <xf numFmtId="165" fontId="0" fillId="0" borderId="0" pivotButton="0" quotePrefix="0" xfId="1"/>
    <xf numFmtId="164" fontId="0" fillId="2" borderId="0" pivotButton="0" quotePrefix="0" xfId="0"/>
    <xf numFmtId="164" fontId="8" fillId="0" borderId="0" pivotButton="0" quotePrefix="0" xfId="1"/>
    <xf numFmtId="164" fontId="7" fillId="0" borderId="0" pivotButton="0" quotePrefix="0" xfId="1"/>
    <xf numFmtId="43" fontId="15" fillId="0" borderId="0" pivotButton="0" quotePrefix="0" xfId="1"/>
    <xf numFmtId="43" fontId="14" fillId="0" borderId="0" pivotButton="0" quotePrefix="0" xfId="1"/>
    <xf numFmtId="164" fontId="0" fillId="0" borderId="0" pivotButton="0" quotePrefix="0" xfId="0"/>
    <xf numFmtId="43" fontId="0" fillId="0" borderId="0" pivotButton="0" quotePrefix="0" xfId="1"/>
    <xf numFmtId="164" fontId="14" fillId="0" borderId="0" pivotButton="0" quotePrefix="0" xfId="1"/>
    <xf numFmtId="164" fontId="0" fillId="0" borderId="0" pivotButton="0" quotePrefix="0" xfId="1"/>
    <xf numFmtId="164" fontId="0" fillId="2" borderId="0" pivotButton="0" quotePrefix="0" xfId="1"/>
    <xf numFmtId="165" fontId="0" fillId="0" borderId="0" pivotButton="0" quotePrefix="0" xfId="1"/>
    <xf numFmtId="164" fontId="2" fillId="0" borderId="0" pivotButton="0" quotePrefix="0" xfId="1"/>
    <xf numFmtId="165" fontId="2" fillId="0" borderId="0" pivotButton="0" quotePrefix="0" xfId="32"/>
    <xf numFmtId="164" fontId="0" fillId="0" borderId="2" pivotButton="0" quotePrefix="0" xfId="0"/>
    <xf numFmtId="164" fontId="0" fillId="3" borderId="0" pivotButton="0" quotePrefix="0" xfId="1"/>
    <xf numFmtId="164" fontId="0" fillId="2" borderId="1" pivotButton="0" quotePrefix="0" xfId="1"/>
    <xf numFmtId="165" fontId="0" fillId="0" borderId="0" pivotButton="0" quotePrefix="0" xfId="0"/>
    <xf numFmtId="164" fontId="0" fillId="2" borderId="0" pivotButton="0" quotePrefix="0" xfId="0"/>
    <xf numFmtId="164" fontId="0" fillId="3" borderId="0" pivotButton="0" quotePrefix="0" xfId="0"/>
  </cellXfs>
  <cellStyles count="8">
    <cellStyle name="Normal" xfId="0" builtinId="0"/>
    <cellStyle name="Comma" xfId="1" builtinId="3"/>
    <cellStyle name="Hyperlink" xfId="2" builtinId="8" hidden="1"/>
    <cellStyle name="Followed Hyperlink" xfId="3" builtinId="9" hidden="1"/>
    <cellStyle name="Normal 2" xfId="4"/>
    <cellStyle name="Comma 2" xfId="5"/>
    <cellStyle name="Percent" xfId="6" builtinId="5"/>
    <cellStyle name="Normal 3" xfId="7"/>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N122"/>
  <sheetViews>
    <sheetView topLeftCell="A13" zoomScale="70" zoomScaleNormal="70" workbookViewId="0">
      <selection activeCell="A1" sqref="A1"/>
    </sheetView>
  </sheetViews>
  <sheetFormatPr baseColWidth="8" defaultColWidth="11" defaultRowHeight="15.75"/>
  <cols>
    <col width="31.5" customWidth="1" style="57" min="2" max="2"/>
    <col width="12.625" bestFit="1" customWidth="1" style="57" min="3" max="3"/>
    <col width="11.625" bestFit="1" customWidth="1" style="57" min="4" max="4"/>
    <col width="12.75" customWidth="1" style="57" min="5" max="5"/>
    <col width="20.375" customWidth="1" style="57" min="6" max="6"/>
    <col width="21.625" customWidth="1" style="57" min="7" max="8"/>
    <col hidden="1" width="20.125" customWidth="1" style="57" min="10" max="10"/>
    <col width="11" customWidth="1" style="57" min="14" max="14"/>
  </cols>
  <sheetData>
    <row r="1">
      <c r="B1" s="15" t="inlineStr">
        <is>
          <t>Assumption ('Thousand USD")</t>
        </is>
      </c>
      <c r="C1" s="3" t="n"/>
      <c r="D1" s="11" t="n"/>
      <c r="E1" s="11" t="n"/>
      <c r="F1" s="11" t="n"/>
      <c r="G1" s="3" t="n"/>
      <c r="H1" s="3" t="n"/>
      <c r="J1" s="12" t="inlineStr">
        <is>
          <t xml:space="preserve">On revenue side,  assume that endowment successfully run at 10% return.  You don’t plan to raise any fund, so no public donation is expected. You don’t expect any government support (other than standard tax incentives) either, so in short, your endowment fund revenue will only come from a) investment income  b) capital gain on investments (let say EBITDA multiple 2X), and c) contribution that will automatically distributed from the trust each year. </t>
        </is>
      </c>
    </row>
    <row r="2" ht="17.25" customHeight="1" s="57">
      <c r="B2" t="inlineStr">
        <is>
          <t>Starting Endowment in $m</t>
        </is>
      </c>
      <c r="C2" s="61" t="n">
        <v>3000</v>
      </c>
      <c r="D2" s="62" t="n"/>
      <c r="E2" s="62" t="n"/>
      <c r="F2" s="62" t="n"/>
      <c r="G2" s="61" t="n"/>
      <c r="H2" s="61" t="n"/>
      <c r="J2" s="12" t="inlineStr">
        <is>
          <t xml:space="preserve">Majority of trust expense is grant payable which is 5% of endowment trust size, which is required by NPO law. Additionally you will have to budget CEO’s compensation 250k (can be one of beneficiaries), 10 of C-level directors 150k each and asset management fee 2% of endowment size, incentives of 20% of fund IRR annually. </t>
        </is>
      </c>
      <c r="K2" s="63" t="inlineStr">
        <is>
          <t>Assumption</t>
        </is>
      </c>
      <c r="L2" s="64" t="n"/>
      <c r="M2" s="64" t="n"/>
      <c r="N2" s="64" t="n"/>
    </row>
    <row r="3">
      <c r="B3" t="inlineStr">
        <is>
          <t>Endowment Revenue</t>
        </is>
      </c>
      <c r="C3" s="3">
        <f>C4</f>
        <v/>
      </c>
      <c r="D3" s="3" t="n"/>
      <c r="E3" s="3" t="n"/>
      <c r="F3" s="3" t="n"/>
      <c r="G3" s="3" t="n"/>
      <c r="H3" s="3" t="n"/>
      <c r="J3" s="12" t="inlineStr">
        <is>
          <t>You were told that your good friend, Comparable Peer Foundation, has a net worth of 31B, which is about twice the size of your wealth. Size of Comparable Peer Foundation Foundation endowment is 8 B. You are not sure about their annual giving amount. You only know that they have been focusing on medical education and have successfully built couple of leadership centers since 1980 with co-operation from many leading universities in the U.S</t>
        </is>
      </c>
      <c r="K3" s="64" t="inlineStr">
        <is>
          <t>Revenue as of today 10000 MB</t>
        </is>
      </c>
      <c r="L3" s="64" t="n"/>
      <c r="M3" s="64" t="n"/>
      <c r="N3" s="64" t="n"/>
    </row>
    <row r="4">
      <c r="B4" s="2" t="inlineStr">
        <is>
          <t>Investment Income</t>
        </is>
      </c>
      <c r="C4" s="3" t="n">
        <v>0.1</v>
      </c>
      <c r="D4" s="62" t="inlineStr">
        <is>
          <t>p.a</t>
        </is>
      </c>
      <c r="E4" s="3" t="n"/>
      <c r="F4" s="3" t="n"/>
      <c r="G4" s="3" t="n"/>
      <c r="H4" s="3" t="n"/>
      <c r="J4" s="13" t="inlineStr">
        <is>
          <t>Q1.  What should be your asset allocation strategy between trust and beneficiaries if you set up foundation today?  Please give estimate of a) benefit $ to beneficiaries b) annual giving amount</t>
        </is>
      </c>
      <c r="K4" s="64" t="inlineStr">
        <is>
          <t>Return 15% p.a</t>
        </is>
      </c>
      <c r="L4" s="64" t="n"/>
      <c r="M4" s="64" t="n"/>
      <c r="N4" s="64" t="n"/>
    </row>
    <row r="5">
      <c r="B5" t="inlineStr">
        <is>
          <t xml:space="preserve">   Principal Contribution</t>
        </is>
      </c>
      <c r="C5" s="61" t="n">
        <v>3000</v>
      </c>
      <c r="D5" s="62" t="inlineStr">
        <is>
          <t>p.a</t>
        </is>
      </c>
      <c r="J5" s="13" t="inlineStr">
        <is>
          <t xml:space="preserve">Scenario 3: Loan 1B each to 5 beneficiaries with 5% interest, the interest will go to the trust </t>
        </is>
      </c>
      <c r="K5" s="64" t="inlineStr">
        <is>
          <t>growth 4%  (inflation)</t>
        </is>
      </c>
      <c r="L5" s="64" t="n"/>
      <c r="M5" s="64" t="n"/>
      <c r="N5" s="64" t="n"/>
    </row>
    <row r="6">
      <c r="B6" t="inlineStr">
        <is>
          <t xml:space="preserve">   Family Foundation contribution 2% of revenue</t>
        </is>
      </c>
      <c r="C6" s="65">
        <f>(10000000*2%)/30</f>
        <v/>
      </c>
      <c r="D6" s="62" t="inlineStr">
        <is>
          <t>p.a</t>
        </is>
      </c>
      <c r="F6" s="66" t="n"/>
      <c r="J6" s="13" t="n"/>
      <c r="K6" s="64" t="n"/>
      <c r="L6" s="64" t="n"/>
      <c r="M6" s="64" t="n"/>
      <c r="N6" s="64" t="n"/>
    </row>
    <row r="7">
      <c r="J7" s="13" t="n"/>
      <c r="K7" s="64" t="n"/>
      <c r="L7" s="64" t="n"/>
      <c r="M7" s="64" t="n"/>
      <c r="N7" s="64" t="n"/>
    </row>
    <row r="8">
      <c r="B8" s="1" t="inlineStr">
        <is>
          <t>Expenses</t>
        </is>
      </c>
      <c r="J8" s="13" t="inlineStr">
        <is>
          <t>Scenario 4: Because you want to beat Comparable Peer Foundation and become top#1 in Asia, so you decided to endow 10B, the remainder goes to Children.</t>
        </is>
      </c>
      <c r="K8" s="64" t="n"/>
      <c r="L8" s="64" t="n"/>
      <c r="M8" s="64" t="inlineStr">
        <is>
          <t>Revenue after inflation adjusted</t>
        </is>
      </c>
      <c r="N8" s="64" t="n"/>
    </row>
    <row r="9">
      <c r="J9" s="13" t="inlineStr">
        <is>
          <t xml:space="preserve">Scenario 5: What would be the effect to above 4 scenarios, if IRR of endowment fund is no longer 10%, but now 0% like what happened to most endowment trusts in year 2011. </t>
        </is>
      </c>
      <c r="K9" s="64" t="n"/>
      <c r="L9" s="64" t="n"/>
      <c r="M9" s="64" t="inlineStr">
        <is>
          <t>THB</t>
        </is>
      </c>
      <c r="N9" s="64" t="inlineStr">
        <is>
          <t>USD</t>
        </is>
      </c>
    </row>
    <row r="10">
      <c r="B10" s="2" t="inlineStr">
        <is>
          <t>Grant Payable</t>
        </is>
      </c>
      <c r="C10" s="3" t="n">
        <v>0.9</v>
      </c>
      <c r="D10" s="3" t="n"/>
      <c r="E10" s="3" t="n"/>
      <c r="F10" s="3" t="n"/>
      <c r="G10" s="3" t="n"/>
      <c r="H10" s="3" t="n"/>
      <c r="K10" s="64" t="inlineStr">
        <is>
          <t xml:space="preserve">Revenue as of today </t>
        </is>
      </c>
      <c r="L10" s="64" t="n"/>
      <c r="M10" s="67">
        <f>10000</f>
        <v/>
      </c>
      <c r="N10" s="67" t="n"/>
    </row>
    <row r="11">
      <c r="B11" s="2" t="inlineStr">
        <is>
          <t>Opex</t>
        </is>
      </c>
      <c r="C11" s="3" t="n">
        <v>0.05</v>
      </c>
      <c r="D11" s="6" t="n"/>
      <c r="E11" s="6" t="n"/>
      <c r="F11" s="6" t="n"/>
      <c r="G11" s="6" t="n"/>
      <c r="H11" s="6" t="n"/>
      <c r="K11" s="64" t="inlineStr">
        <is>
          <t>Revenue at year 10</t>
        </is>
      </c>
      <c r="L11" s="64" t="n"/>
      <c r="M11" s="67">
        <f>M10*(1+(0.15-0.04))^10</f>
        <v/>
      </c>
      <c r="N11" s="67">
        <f>M11/30</f>
        <v/>
      </c>
    </row>
    <row r="12">
      <c r="B12" s="2" t="inlineStr">
        <is>
          <t xml:space="preserve">Asset management Fee </t>
        </is>
      </c>
      <c r="C12" s="3" t="n">
        <v>0.02</v>
      </c>
      <c r="D12" s="6" t="n"/>
      <c r="E12" s="6" t="n"/>
      <c r="F12" s="6" t="n"/>
      <c r="G12" s="6" t="n"/>
      <c r="H12" s="6" t="n"/>
      <c r="K12" s="64" t="inlineStr">
        <is>
          <t>Revenue at year 20</t>
        </is>
      </c>
      <c r="L12" s="67" t="n"/>
      <c r="M12" s="67">
        <f>M10*(1+(0.15-0.04))^20</f>
        <v/>
      </c>
      <c r="N12" s="67">
        <f>M12/30</f>
        <v/>
      </c>
    </row>
    <row r="13">
      <c r="B13" s="2" t="inlineStr">
        <is>
          <t>Tax</t>
        </is>
      </c>
      <c r="C13" s="3" t="n">
        <v>0.02</v>
      </c>
      <c r="D13" s="6" t="n"/>
      <c r="E13" s="6" t="n"/>
      <c r="F13" s="6" t="n"/>
      <c r="G13" s="6" t="n"/>
      <c r="H13" s="6" t="n"/>
      <c r="K13" s="64" t="inlineStr">
        <is>
          <t>Revenue at year 40</t>
        </is>
      </c>
      <c r="L13" s="64" t="n"/>
      <c r="M13" s="67">
        <f>M10*(1+(0.15-0.04))^40</f>
        <v/>
      </c>
      <c r="N13" s="67">
        <f>M13/30</f>
        <v/>
      </c>
    </row>
    <row r="14" hidden="1" s="57">
      <c r="B14" s="2" t="n"/>
      <c r="C14" s="3" t="n"/>
      <c r="D14" s="3" t="n"/>
      <c r="E14" s="3" t="n"/>
      <c r="F14" s="3" t="n"/>
      <c r="G14" s="3" t="n"/>
      <c r="H14" s="3" t="n"/>
      <c r="J14" s="68">
        <f>10000000000</f>
        <v/>
      </c>
      <c r="K14" s="64" t="n"/>
      <c r="L14" s="64" t="n"/>
      <c r="M14" s="67" t="n"/>
      <c r="N14" s="67" t="n"/>
    </row>
    <row r="15" hidden="1" s="57">
      <c r="B15" s="2" t="n"/>
      <c r="J15" s="65">
        <f>J14*15%</f>
        <v/>
      </c>
      <c r="K15" s="64" t="inlineStr">
        <is>
          <t>Profit at year 10</t>
        </is>
      </c>
      <c r="L15" s="64" t="n"/>
      <c r="M15" s="67">
        <f>M11*0.15</f>
        <v/>
      </c>
      <c r="N15" s="67">
        <f>M15/30</f>
        <v/>
      </c>
    </row>
    <row r="16" hidden="1" s="57">
      <c r="J16" s="65">
        <f>J15*2%</f>
        <v/>
      </c>
      <c r="K16" s="64" t="inlineStr">
        <is>
          <t>Profit at year 20</t>
        </is>
      </c>
      <c r="L16" s="64" t="n"/>
      <c r="M16" s="67">
        <f>M12*0.15</f>
        <v/>
      </c>
      <c r="N16" s="67">
        <f>M16/30</f>
        <v/>
      </c>
    </row>
    <row r="17" hidden="1" s="57">
      <c r="C17" s="3" t="n"/>
      <c r="D17" s="3" t="n"/>
      <c r="E17" s="3" t="n"/>
      <c r="F17" s="3" t="n"/>
      <c r="G17" s="3" t="n"/>
      <c r="H17" s="3" t="n"/>
      <c r="K17" s="64" t="inlineStr">
        <is>
          <t>Profit at year 40</t>
        </is>
      </c>
      <c r="L17" s="64" t="n"/>
      <c r="M17" s="67">
        <f>M13*0.15</f>
        <v/>
      </c>
      <c r="N17" s="67">
        <f>M17/30</f>
        <v/>
      </c>
    </row>
    <row r="18" hidden="1" s="57">
      <c r="C18" s="3" t="n"/>
      <c r="D18" s="3" t="n"/>
      <c r="E18" s="3" t="n"/>
      <c r="F18" s="3" t="n"/>
      <c r="G18" s="3" t="n"/>
      <c r="H18" s="3" t="n"/>
    </row>
    <row r="19">
      <c r="B19" t="inlineStr">
        <is>
          <t xml:space="preserve">    Inflation</t>
        </is>
      </c>
      <c r="C19" s="3" t="n">
        <v>0.03</v>
      </c>
      <c r="D19" s="3" t="n"/>
      <c r="E19" s="3" t="n"/>
      <c r="F19" s="3" t="n"/>
      <c r="G19" s="3" t="n"/>
      <c r="H19" s="3" t="n"/>
    </row>
    <row r="20">
      <c r="C20" s="3" t="n"/>
    </row>
    <row r="21">
      <c r="B21" s="15" t="inlineStr">
        <is>
          <t>Assumption ('Thousand USD")</t>
        </is>
      </c>
    </row>
    <row r="22" ht="31.5" customHeight="1" s="57">
      <c r="B22" s="10" t="inlineStr">
        <is>
          <t>Foundation</t>
        </is>
      </c>
      <c r="C22" t="inlineStr">
        <is>
          <t>Income</t>
        </is>
      </c>
      <c r="D22" t="inlineStr">
        <is>
          <t>Expense</t>
        </is>
      </c>
      <c r="E22" t="inlineStr">
        <is>
          <t>Assets</t>
        </is>
      </c>
      <c r="F22" s="9" t="inlineStr">
        <is>
          <t>Real Value of Assets at today's money value</t>
        </is>
      </c>
      <c r="G22" s="9" t="inlineStr">
        <is>
          <t>Annual giving amount in today's money value</t>
        </is>
      </c>
      <c r="H22" s="9" t="inlineStr">
        <is>
          <t>Accumulated Grant</t>
        </is>
      </c>
    </row>
    <row r="23">
      <c r="A23" t="n">
        <v>0</v>
      </c>
      <c r="B23" t="inlineStr">
        <is>
          <t>Year 0</t>
        </is>
      </c>
      <c r="C23" s="68" t="n"/>
      <c r="D23" s="68" t="n"/>
      <c r="E23" s="68">
        <f>C2</f>
        <v/>
      </c>
      <c r="F23" s="68">
        <f>E23</f>
        <v/>
      </c>
      <c r="G23" s="68" t="n"/>
      <c r="H23" s="68">
        <f>G23</f>
        <v/>
      </c>
      <c r="I23" t="n">
        <v>2014</v>
      </c>
    </row>
    <row r="24">
      <c r="A24" t="n">
        <v>1</v>
      </c>
      <c r="B24" t="inlineStr">
        <is>
          <t>Year 1</t>
        </is>
      </c>
      <c r="C24" s="68">
        <f>E23*($C$3)</f>
        <v/>
      </c>
      <c r="D24" s="68">
        <f>C24*$C$10 +C24*$C$11+C24*$C$12</f>
        <v/>
      </c>
      <c r="E24" s="68">
        <f>E23+C24-D24+$C$5+$C$6</f>
        <v/>
      </c>
      <c r="F24" s="68">
        <f>E24/POWER(1+$C$19,A24)</f>
        <v/>
      </c>
      <c r="G24" s="68">
        <f>(E23*$C$10)/POWER(1+$C$19,A24)</f>
        <v/>
      </c>
      <c r="H24" s="68">
        <f>G23+G24</f>
        <v/>
      </c>
      <c r="I24">
        <f>I23+1</f>
        <v/>
      </c>
    </row>
    <row r="25">
      <c r="A25" t="n">
        <v>2</v>
      </c>
      <c r="B25" t="inlineStr">
        <is>
          <t>Year 2</t>
        </is>
      </c>
      <c r="C25" s="68">
        <f>E24*($C$3)</f>
        <v/>
      </c>
      <c r="D25" s="68">
        <f>C25*$C$10 +C25*$C$11+C25*$C$12</f>
        <v/>
      </c>
      <c r="E25" s="68">
        <f>E24+C25-D25+$C$5+$C$6</f>
        <v/>
      </c>
      <c r="F25" s="68">
        <f>E25/POWER(1+$C$19,A25)</f>
        <v/>
      </c>
      <c r="G25" s="68">
        <f>(E24*$C$10)/POWER(1+$C$19,A25)</f>
        <v/>
      </c>
      <c r="H25" s="68">
        <f>G24+G25</f>
        <v/>
      </c>
      <c r="I25">
        <f>I24+1</f>
        <v/>
      </c>
    </row>
    <row r="26">
      <c r="A26" t="n">
        <v>3</v>
      </c>
      <c r="B26" t="inlineStr">
        <is>
          <t>Year 3</t>
        </is>
      </c>
      <c r="C26" s="68">
        <f>E25*($C$3)</f>
        <v/>
      </c>
      <c r="D26" s="68">
        <f>C26*$C$10 +C26*$C$11+C26*$C$12</f>
        <v/>
      </c>
      <c r="E26" s="68">
        <f>E25+C26-D26+$C$5+$C$6</f>
        <v/>
      </c>
      <c r="F26" s="68">
        <f>E26/POWER(1+$C$19,A26)</f>
        <v/>
      </c>
      <c r="G26" s="68">
        <f>(E25*$C$10)/POWER(1+$C$19,A26)</f>
        <v/>
      </c>
      <c r="H26" s="68">
        <f>G25+G26</f>
        <v/>
      </c>
      <c r="I26">
        <f>I25+1</f>
        <v/>
      </c>
    </row>
    <row r="27">
      <c r="A27" t="n">
        <v>4</v>
      </c>
      <c r="B27" t="inlineStr">
        <is>
          <t>Year 4</t>
        </is>
      </c>
      <c r="C27" s="68">
        <f>E26*($C$3)</f>
        <v/>
      </c>
      <c r="D27" s="68">
        <f>C27*$C$10 +C27*$C$11+C27*$C$12</f>
        <v/>
      </c>
      <c r="E27" s="68">
        <f>E26+C27-D27+$C$5+$C$6</f>
        <v/>
      </c>
      <c r="F27" s="68">
        <f>E27/POWER(1+$C$19,A27)</f>
        <v/>
      </c>
      <c r="G27" s="68">
        <f>(E26*$C$10)/POWER(1+$C$19,A27)</f>
        <v/>
      </c>
      <c r="H27" s="68">
        <f>G26+G27</f>
        <v/>
      </c>
      <c r="I27">
        <f>I26+1</f>
        <v/>
      </c>
    </row>
    <row r="28">
      <c r="A28" t="n">
        <v>5</v>
      </c>
      <c r="B28" t="inlineStr">
        <is>
          <t>Year 5</t>
        </is>
      </c>
      <c r="C28" s="68">
        <f>E27*($C$3)</f>
        <v/>
      </c>
      <c r="D28" s="68">
        <f>C28*$C$10 +C28*$C$11+C28*$C$12</f>
        <v/>
      </c>
      <c r="E28" s="68">
        <f>E27+C28-D28+$C$5+$C$6</f>
        <v/>
      </c>
      <c r="F28" s="68">
        <f>E28/POWER(1+$C$19,A28)</f>
        <v/>
      </c>
      <c r="G28" s="68">
        <f>(E27*$C$10)/POWER(1+$C$19,A28)</f>
        <v/>
      </c>
      <c r="H28" s="68">
        <f>G27+G28</f>
        <v/>
      </c>
      <c r="I28">
        <f>I27+1</f>
        <v/>
      </c>
    </row>
    <row r="29">
      <c r="A29" t="n">
        <v>6</v>
      </c>
      <c r="B29" t="inlineStr">
        <is>
          <t>Year 6</t>
        </is>
      </c>
      <c r="C29" s="68">
        <f>E28*($C$3)</f>
        <v/>
      </c>
      <c r="D29" s="68">
        <f>C29*$C$10 +C29*$C$11+C29*$C$12</f>
        <v/>
      </c>
      <c r="E29" s="68">
        <f>E28+C29-D29+$C$5+$C$6</f>
        <v/>
      </c>
      <c r="F29" s="68">
        <f>E29/POWER(1+$C$19,A29)</f>
        <v/>
      </c>
      <c r="G29" s="68">
        <f>(E28*$C$10)/POWER(1+$C$19,A29)</f>
        <v/>
      </c>
      <c r="H29" s="68">
        <f>G28+G29</f>
        <v/>
      </c>
      <c r="I29">
        <f>I28+1</f>
        <v/>
      </c>
    </row>
    <row r="30">
      <c r="A30" t="n">
        <v>7</v>
      </c>
      <c r="B30" t="inlineStr">
        <is>
          <t>Year 7</t>
        </is>
      </c>
      <c r="C30" s="68">
        <f>E29*($C$3)</f>
        <v/>
      </c>
      <c r="D30" s="68">
        <f>C30*$C$10 +C30*$C$11+C30*$C$12</f>
        <v/>
      </c>
      <c r="E30" s="68">
        <f>E29+C30-D30+$C$5+$C$6</f>
        <v/>
      </c>
      <c r="F30" s="68">
        <f>E30/POWER(1+$C$19,A30)</f>
        <v/>
      </c>
      <c r="G30" s="68">
        <f>(E29*$C$10)/POWER(1+$C$19,A30)</f>
        <v/>
      </c>
      <c r="H30" s="68">
        <f>G29+G30</f>
        <v/>
      </c>
      <c r="I30">
        <f>I29+1</f>
        <v/>
      </c>
    </row>
    <row r="31">
      <c r="A31" t="n">
        <v>8</v>
      </c>
      <c r="B31" t="inlineStr">
        <is>
          <t>Year 8</t>
        </is>
      </c>
      <c r="C31" s="68">
        <f>E30*($C$3)</f>
        <v/>
      </c>
      <c r="D31" s="68">
        <f>C31*$C$10 +C31*$C$11+C31*$C$12</f>
        <v/>
      </c>
      <c r="E31" s="68">
        <f>E30+C31-D31+$C$5+$C$6</f>
        <v/>
      </c>
      <c r="F31" s="68">
        <f>E31/POWER(1+$C$19,A31)</f>
        <v/>
      </c>
      <c r="G31" s="68">
        <f>(E30*$C$10)/POWER(1+$C$19,A31)</f>
        <v/>
      </c>
      <c r="H31" s="68">
        <f>G30+G31</f>
        <v/>
      </c>
      <c r="I31">
        <f>I30+1</f>
        <v/>
      </c>
    </row>
    <row r="32">
      <c r="A32" t="n">
        <v>9</v>
      </c>
      <c r="B32" t="inlineStr">
        <is>
          <t>Year 9</t>
        </is>
      </c>
      <c r="C32" s="68">
        <f>E31*($C$3)</f>
        <v/>
      </c>
      <c r="D32" s="68">
        <f>C32*$C$10 +C32*$C$11+C32*$C$12</f>
        <v/>
      </c>
      <c r="E32" s="68">
        <f>E31+C32-D32+$C$5+$C$6</f>
        <v/>
      </c>
      <c r="F32" s="68">
        <f>E32/POWER(1+$C$19,A32)</f>
        <v/>
      </c>
      <c r="G32" s="68">
        <f>(E31*$C$10)/POWER(1+$C$19,A32)</f>
        <v/>
      </c>
      <c r="H32" s="68">
        <f>G31+G32</f>
        <v/>
      </c>
      <c r="I32">
        <f>I31+1</f>
        <v/>
      </c>
    </row>
    <row r="33">
      <c r="A33" s="28" t="n">
        <v>10</v>
      </c>
      <c r="B33" s="28" t="inlineStr">
        <is>
          <t>Year 10</t>
        </is>
      </c>
      <c r="C33" s="69">
        <f>E32*($C$3)</f>
        <v/>
      </c>
      <c r="D33" s="69">
        <f>C33*$C$10 +C33*$C$11+C33*$C$12</f>
        <v/>
      </c>
      <c r="E33" s="69">
        <f>E32+C33-D33+$C$5+$C$6</f>
        <v/>
      </c>
      <c r="F33" s="69">
        <f>E33/POWER(1+$C$19,A33)</f>
        <v/>
      </c>
      <c r="G33" s="69">
        <f>(E32*$C$10)/POWER(1+$C$19,A33)</f>
        <v/>
      </c>
      <c r="H33" s="69">
        <f>G32+G33</f>
        <v/>
      </c>
      <c r="I33" s="28">
        <f>I32+1</f>
        <v/>
      </c>
    </row>
    <row r="34">
      <c r="A34" t="n">
        <v>11</v>
      </c>
      <c r="B34" t="inlineStr">
        <is>
          <t>Year 11</t>
        </is>
      </c>
      <c r="C34" s="68">
        <f>E33*($C$3)</f>
        <v/>
      </c>
      <c r="D34" s="68">
        <f>C34*$C$10 +C34*$C$11+C34*$C$12</f>
        <v/>
      </c>
      <c r="E34" s="68">
        <f>E33+C34-D34+$C$5+$C$6</f>
        <v/>
      </c>
      <c r="F34" s="68">
        <f>E34/POWER(1+$C$19,A34)</f>
        <v/>
      </c>
      <c r="G34" s="68">
        <f>(E33*$C$10)/POWER(1+$C$19,A34)</f>
        <v/>
      </c>
      <c r="H34" s="68">
        <f>G33+G34</f>
        <v/>
      </c>
      <c r="I34">
        <f>I33+1</f>
        <v/>
      </c>
    </row>
    <row r="35">
      <c r="A35" t="n">
        <v>12</v>
      </c>
      <c r="B35" t="inlineStr">
        <is>
          <t>Year 12</t>
        </is>
      </c>
      <c r="C35" s="68">
        <f>E34*($C$3)</f>
        <v/>
      </c>
      <c r="D35" s="68">
        <f>C35*$C$10 +C35*$C$11+C35*$C$12</f>
        <v/>
      </c>
      <c r="E35" s="68">
        <f>E34+C35-D35+$C$5+$C$6</f>
        <v/>
      </c>
      <c r="F35" s="68">
        <f>E35/POWER(1+$C$19,A35)</f>
        <v/>
      </c>
      <c r="G35" s="68">
        <f>(E34*$C$10)/POWER(1+$C$19,A35)</f>
        <v/>
      </c>
      <c r="H35" s="68">
        <f>G34+G35</f>
        <v/>
      </c>
      <c r="I35">
        <f>I34+1</f>
        <v/>
      </c>
    </row>
    <row r="36">
      <c r="A36" t="n">
        <v>13</v>
      </c>
      <c r="B36" t="inlineStr">
        <is>
          <t>Year 13</t>
        </is>
      </c>
      <c r="C36" s="68">
        <f>E35*($C$3)</f>
        <v/>
      </c>
      <c r="D36" s="68">
        <f>C36*$C$10 +C36*$C$11+C36*$C$12</f>
        <v/>
      </c>
      <c r="E36" s="68">
        <f>E35+C36-D36+$C$5+$C$6</f>
        <v/>
      </c>
      <c r="F36" s="68">
        <f>E36/POWER(1+$C$19,A36)</f>
        <v/>
      </c>
      <c r="G36" s="68">
        <f>(E35*$C$10)/POWER(1+$C$19,A36)</f>
        <v/>
      </c>
      <c r="H36" s="68">
        <f>G35+G36</f>
        <v/>
      </c>
      <c r="I36">
        <f>I35+1</f>
        <v/>
      </c>
    </row>
    <row r="37">
      <c r="A37" t="n">
        <v>14</v>
      </c>
      <c r="B37" t="inlineStr">
        <is>
          <t>Year 14</t>
        </is>
      </c>
      <c r="C37" s="68">
        <f>E36*($C$3)</f>
        <v/>
      </c>
      <c r="D37" s="68">
        <f>C37*$C$10 +C37*$C$11+C37*$C$12</f>
        <v/>
      </c>
      <c r="E37" s="68">
        <f>E36+C37-D37+$C$5+$C$6</f>
        <v/>
      </c>
      <c r="F37" s="68">
        <f>E37/POWER(1+$C$19,A37)</f>
        <v/>
      </c>
      <c r="G37" s="68">
        <f>(E36*$C$10)/POWER(1+$C$19,A37)</f>
        <v/>
      </c>
      <c r="H37" s="68">
        <f>G36+G37</f>
        <v/>
      </c>
      <c r="I37">
        <f>I36+1</f>
        <v/>
      </c>
    </row>
    <row r="38">
      <c r="A38" t="n">
        <v>15</v>
      </c>
      <c r="B38" t="inlineStr">
        <is>
          <t>Year 15</t>
        </is>
      </c>
      <c r="C38" s="68">
        <f>E37*($C$3)</f>
        <v/>
      </c>
      <c r="D38" s="68">
        <f>C38*$C$10 +C38*$C$11+C38*$C$12</f>
        <v/>
      </c>
      <c r="E38" s="68">
        <f>E37+C38-D38+$C$5+$C$6</f>
        <v/>
      </c>
      <c r="F38" s="68">
        <f>E38/POWER(1+$C$19,A38)</f>
        <v/>
      </c>
      <c r="G38" s="68">
        <f>(E37*$C$10)/POWER(1+$C$19,A38)</f>
        <v/>
      </c>
      <c r="H38" s="68">
        <f>G37+G38</f>
        <v/>
      </c>
      <c r="I38">
        <f>I37+1</f>
        <v/>
      </c>
    </row>
    <row r="39">
      <c r="A39" t="n">
        <v>16</v>
      </c>
      <c r="B39" t="inlineStr">
        <is>
          <t>Year 16</t>
        </is>
      </c>
      <c r="C39" s="68">
        <f>E38*($C$3)</f>
        <v/>
      </c>
      <c r="D39" s="68">
        <f>C39*$C$10 +C39*$C$11+C39*$C$12</f>
        <v/>
      </c>
      <c r="E39" s="68">
        <f>E38+C39-D39+$C$5+$C$6</f>
        <v/>
      </c>
      <c r="F39" s="68">
        <f>E39/POWER(1+$C$19,A39)</f>
        <v/>
      </c>
      <c r="G39" s="68">
        <f>(E38*$C$10)/POWER(1+$C$19,A39)</f>
        <v/>
      </c>
      <c r="H39" s="68">
        <f>G38+G39</f>
        <v/>
      </c>
      <c r="I39">
        <f>I38+1</f>
        <v/>
      </c>
    </row>
    <row r="40">
      <c r="A40" t="n">
        <v>17</v>
      </c>
      <c r="B40" t="inlineStr">
        <is>
          <t>Year 17</t>
        </is>
      </c>
      <c r="C40" s="68">
        <f>E39*($C$3)</f>
        <v/>
      </c>
      <c r="D40" s="68">
        <f>C40*$C$10 +C40*$C$11+C40*$C$12</f>
        <v/>
      </c>
      <c r="E40" s="68">
        <f>E39+C40-D40+$C$5+$C$6</f>
        <v/>
      </c>
      <c r="F40" s="68">
        <f>E40/POWER(1+$C$19,A40)</f>
        <v/>
      </c>
      <c r="G40" s="68">
        <f>(E39*$C$10)/POWER(1+$C$19,A40)</f>
        <v/>
      </c>
      <c r="H40" s="68">
        <f>G39+G40</f>
        <v/>
      </c>
      <c r="I40">
        <f>I39+1</f>
        <v/>
      </c>
    </row>
    <row r="41">
      <c r="A41" t="n">
        <v>18</v>
      </c>
      <c r="B41" t="inlineStr">
        <is>
          <t>Year 18</t>
        </is>
      </c>
      <c r="C41" s="68">
        <f>E40*($C$3)</f>
        <v/>
      </c>
      <c r="D41" s="68">
        <f>C41*$C$10 +C41*$C$11+C41*$C$12</f>
        <v/>
      </c>
      <c r="E41" s="68">
        <f>E40+C41-D41+$C$5+$C$6</f>
        <v/>
      </c>
      <c r="F41" s="68">
        <f>E41/POWER(1+$C$19,A41)</f>
        <v/>
      </c>
      <c r="G41" s="68">
        <f>(E40*$C$10)/POWER(1+$C$19,A41)</f>
        <v/>
      </c>
      <c r="H41" s="68">
        <f>G40+G41</f>
        <v/>
      </c>
      <c r="I41">
        <f>I40+1</f>
        <v/>
      </c>
    </row>
    <row r="42">
      <c r="A42" t="n">
        <v>19</v>
      </c>
      <c r="B42" t="inlineStr">
        <is>
          <t>Year 19</t>
        </is>
      </c>
      <c r="C42" s="68">
        <f>E41*($C$3)</f>
        <v/>
      </c>
      <c r="D42" s="68">
        <f>C42*$C$10 +C42*$C$11+C42*$C$12</f>
        <v/>
      </c>
      <c r="E42" s="68">
        <f>E41+C42-D42+$C$5+$C$6</f>
        <v/>
      </c>
      <c r="F42" s="68">
        <f>E42/POWER(1+$C$19,A42)</f>
        <v/>
      </c>
      <c r="G42" s="68">
        <f>(E41*$C$10)/POWER(1+$C$19,A42)</f>
        <v/>
      </c>
      <c r="H42" s="68">
        <f>G41+G42</f>
        <v/>
      </c>
      <c r="I42">
        <f>I41+1</f>
        <v/>
      </c>
    </row>
    <row r="43">
      <c r="A43" s="28" t="n">
        <v>20</v>
      </c>
      <c r="B43" s="28" t="inlineStr">
        <is>
          <t>Year 20</t>
        </is>
      </c>
      <c r="C43" s="69">
        <f>E42*($C$3)</f>
        <v/>
      </c>
      <c r="D43" s="69">
        <f>C43*$C$10 +C43*$C$11+C43*$C$12</f>
        <v/>
      </c>
      <c r="E43" s="69">
        <f>E42+C43-D43+$C$5+$C$6</f>
        <v/>
      </c>
      <c r="F43" s="69">
        <f>E43/POWER(1+$C$19,A43)</f>
        <v/>
      </c>
      <c r="G43" s="69">
        <f>(E42*$C$10)/POWER(1+$C$19,A43)</f>
        <v/>
      </c>
      <c r="H43" s="69">
        <f>G42+G43</f>
        <v/>
      </c>
      <c r="I43" s="28">
        <f>I42+1</f>
        <v/>
      </c>
    </row>
    <row r="44">
      <c r="A44" t="n">
        <v>21</v>
      </c>
      <c r="B44" t="inlineStr">
        <is>
          <t>Year 21</t>
        </is>
      </c>
      <c r="C44" s="68">
        <f>E43*($C$3)</f>
        <v/>
      </c>
      <c r="D44" s="68">
        <f>C44*$C$10 +C44*$C$11+C44*$C$12</f>
        <v/>
      </c>
      <c r="E44" s="68">
        <f>E43+C44-D44+$C$5+$C$6</f>
        <v/>
      </c>
      <c r="F44" s="68">
        <f>E44/POWER(1+$C$19,A44)</f>
        <v/>
      </c>
      <c r="G44" s="68">
        <f>(E43*$C$10)/POWER(1+$C$19,A44)</f>
        <v/>
      </c>
      <c r="H44" s="68">
        <f>G43+G44</f>
        <v/>
      </c>
      <c r="I44">
        <f>I43+1</f>
        <v/>
      </c>
    </row>
    <row r="45">
      <c r="A45" t="n">
        <v>22</v>
      </c>
      <c r="B45" t="inlineStr">
        <is>
          <t>Year 22</t>
        </is>
      </c>
      <c r="C45" s="68">
        <f>E44*($C$3)</f>
        <v/>
      </c>
      <c r="D45" s="68">
        <f>C45*$C$10 +C45*$C$11+C45*$C$12</f>
        <v/>
      </c>
      <c r="E45" s="68">
        <f>E44+C45-D45+$C$5+$C$6</f>
        <v/>
      </c>
      <c r="F45" s="68">
        <f>E45/POWER(1+$C$19,A45)</f>
        <v/>
      </c>
      <c r="G45" s="68">
        <f>(E44*$C$10)/POWER(1+$C$19,A45)</f>
        <v/>
      </c>
      <c r="H45" s="68">
        <f>G44+G45</f>
        <v/>
      </c>
      <c r="I45">
        <f>I44+1</f>
        <v/>
      </c>
    </row>
    <row r="46">
      <c r="A46" t="n">
        <v>23</v>
      </c>
      <c r="B46" t="inlineStr">
        <is>
          <t>Year 23</t>
        </is>
      </c>
      <c r="C46" s="68">
        <f>E45*($C$3)</f>
        <v/>
      </c>
      <c r="D46" s="68">
        <f>C46*$C$10 +C46*$C$11+C46*$C$12</f>
        <v/>
      </c>
      <c r="E46" s="68">
        <f>E45+C46-D46+$C$5+$C$6</f>
        <v/>
      </c>
      <c r="F46" s="68">
        <f>E46/POWER(1+$C$19,A46)</f>
        <v/>
      </c>
      <c r="G46" s="68">
        <f>(E45*$C$10)/POWER(1+$C$19,A46)</f>
        <v/>
      </c>
      <c r="H46" s="68">
        <f>G45+G46</f>
        <v/>
      </c>
      <c r="I46">
        <f>I45+1</f>
        <v/>
      </c>
    </row>
    <row r="47">
      <c r="A47" t="n">
        <v>24</v>
      </c>
      <c r="B47" t="inlineStr">
        <is>
          <t>Year 24</t>
        </is>
      </c>
      <c r="C47" s="68">
        <f>E46*($C$3)</f>
        <v/>
      </c>
      <c r="D47" s="68">
        <f>C47*$C$10 +C47*$C$11+C47*$C$12</f>
        <v/>
      </c>
      <c r="E47" s="68">
        <f>E46+C47-D47+$C$5+$C$6</f>
        <v/>
      </c>
      <c r="F47" s="68">
        <f>E47/POWER(1+$C$19,A47)</f>
        <v/>
      </c>
      <c r="G47" s="68">
        <f>(E46*$C$10)/POWER(1+$C$19,A47)</f>
        <v/>
      </c>
      <c r="H47" s="68">
        <f>G46+G47</f>
        <v/>
      </c>
      <c r="I47">
        <f>I46+1</f>
        <v/>
      </c>
    </row>
    <row r="48">
      <c r="A48" t="n">
        <v>25</v>
      </c>
      <c r="B48" t="inlineStr">
        <is>
          <t>Year 25</t>
        </is>
      </c>
      <c r="C48" s="68">
        <f>E47*($C$3)</f>
        <v/>
      </c>
      <c r="D48" s="68">
        <f>C48*$C$10 +C48*$C$11+C48*$C$12</f>
        <v/>
      </c>
      <c r="E48" s="68">
        <f>E47+C48-D48+$C$5+$C$6</f>
        <v/>
      </c>
      <c r="F48" s="68">
        <f>E48/POWER(1+$C$19,A48)</f>
        <v/>
      </c>
      <c r="G48" s="68">
        <f>(E47*$C$10)/POWER(1+$C$19,A48)</f>
        <v/>
      </c>
      <c r="H48" s="68">
        <f>G47+G48</f>
        <v/>
      </c>
      <c r="I48">
        <f>I47+1</f>
        <v/>
      </c>
    </row>
    <row r="49">
      <c r="A49" t="n">
        <v>26</v>
      </c>
      <c r="B49" t="inlineStr">
        <is>
          <t>Year 26</t>
        </is>
      </c>
      <c r="C49" s="68">
        <f>E48*($C$3)</f>
        <v/>
      </c>
      <c r="D49" s="68">
        <f>C49*$C$10 +C49*$C$11+C49*$C$12</f>
        <v/>
      </c>
      <c r="E49" s="68">
        <f>E48+C49-D49+$C$5+$C$6</f>
        <v/>
      </c>
      <c r="F49" s="68">
        <f>E49/POWER(1+$C$19,A49)</f>
        <v/>
      </c>
      <c r="G49" s="68">
        <f>(E48*$C$10)/POWER(1+$C$19,A49)</f>
        <v/>
      </c>
      <c r="H49" s="68">
        <f>G48+G49</f>
        <v/>
      </c>
      <c r="I49">
        <f>I48+1</f>
        <v/>
      </c>
    </row>
    <row r="50">
      <c r="A50" t="n">
        <v>27</v>
      </c>
      <c r="B50" t="inlineStr">
        <is>
          <t>Year 27</t>
        </is>
      </c>
      <c r="C50" s="68">
        <f>E49*($C$3)</f>
        <v/>
      </c>
      <c r="D50" s="68">
        <f>C50*$C$10 +C50*$C$11+C50*$C$12</f>
        <v/>
      </c>
      <c r="E50" s="68">
        <f>E49+C50-D50+$C$5+$C$6</f>
        <v/>
      </c>
      <c r="F50" s="68">
        <f>E50/POWER(1+$C$19,A50)</f>
        <v/>
      </c>
      <c r="G50" s="68">
        <f>(E49*$C$10)/POWER(1+$C$19,A50)</f>
        <v/>
      </c>
      <c r="H50" s="68">
        <f>G49+G50</f>
        <v/>
      </c>
      <c r="I50">
        <f>I49+1</f>
        <v/>
      </c>
    </row>
    <row r="51">
      <c r="A51" t="n">
        <v>28</v>
      </c>
      <c r="B51" t="inlineStr">
        <is>
          <t>Year 28</t>
        </is>
      </c>
      <c r="C51" s="68">
        <f>E50*($C$3)</f>
        <v/>
      </c>
      <c r="D51" s="68">
        <f>C51*$C$10 +C51*$C$11+C51*$C$12</f>
        <v/>
      </c>
      <c r="E51" s="68">
        <f>E50+C51-D51+$C$5+$C$6</f>
        <v/>
      </c>
      <c r="F51" s="68">
        <f>E51/POWER(1+$C$19,A51)</f>
        <v/>
      </c>
      <c r="G51" s="68">
        <f>(E50*$C$10)/POWER(1+$C$19,A51)</f>
        <v/>
      </c>
      <c r="H51" s="68">
        <f>G50+G51</f>
        <v/>
      </c>
      <c r="I51">
        <f>I50+1</f>
        <v/>
      </c>
    </row>
    <row r="52">
      <c r="A52" t="n">
        <v>29</v>
      </c>
      <c r="B52" t="inlineStr">
        <is>
          <t>Year 29</t>
        </is>
      </c>
      <c r="C52" s="68">
        <f>E51*($C$3)</f>
        <v/>
      </c>
      <c r="D52" s="68">
        <f>C52*$C$10 +C52*$C$11+C52*$C$12</f>
        <v/>
      </c>
      <c r="E52" s="68">
        <f>E51+C52-D52+$C$5+$C$6</f>
        <v/>
      </c>
      <c r="F52" s="68">
        <f>E52/POWER(1+$C$19,A52)</f>
        <v/>
      </c>
      <c r="G52" s="68">
        <f>(E51*$C$10)/POWER(1+$C$19,A52)</f>
        <v/>
      </c>
      <c r="H52" s="68">
        <f>G51+G52</f>
        <v/>
      </c>
      <c r="I52">
        <f>I51+1</f>
        <v/>
      </c>
    </row>
    <row r="53">
      <c r="A53" s="28" t="n">
        <v>30</v>
      </c>
      <c r="B53" s="28" t="inlineStr">
        <is>
          <t>Year 30</t>
        </is>
      </c>
      <c r="C53" s="69">
        <f>E52*($C$3)</f>
        <v/>
      </c>
      <c r="D53" s="69">
        <f>C53*$C$10 +C53*$C$11+C53*$C$12</f>
        <v/>
      </c>
      <c r="E53" s="69">
        <f>E52+C53-D53+$C$5+$C$6</f>
        <v/>
      </c>
      <c r="F53" s="69">
        <f>E53/POWER(1+$C$19,A53)</f>
        <v/>
      </c>
      <c r="G53" s="69">
        <f>(E52*$C$10)/POWER(1+$C$19,A53)</f>
        <v/>
      </c>
      <c r="H53" s="69">
        <f>G52+G53</f>
        <v/>
      </c>
      <c r="I53" s="28">
        <f>I52+1</f>
        <v/>
      </c>
    </row>
    <row r="54">
      <c r="A54" t="n">
        <v>31</v>
      </c>
      <c r="B54" t="inlineStr">
        <is>
          <t>Year 31</t>
        </is>
      </c>
      <c r="C54" s="68">
        <f>E53*($C$3)</f>
        <v/>
      </c>
      <c r="D54" s="68">
        <f>C54*$C$10 +C54*$C$11+C54*$C$12</f>
        <v/>
      </c>
      <c r="E54" s="68">
        <f>E53+C54-D54+$C$5+$C$6</f>
        <v/>
      </c>
      <c r="F54" s="68">
        <f>E54/POWER(1+$C$19,A54)</f>
        <v/>
      </c>
      <c r="G54" s="68">
        <f>(E53*$C$10)/POWER(1+$C$19,A54)</f>
        <v/>
      </c>
      <c r="H54" s="68">
        <f>G53+G54</f>
        <v/>
      </c>
      <c r="I54">
        <f>I53+1</f>
        <v/>
      </c>
    </row>
    <row r="55">
      <c r="A55" t="n">
        <v>32</v>
      </c>
      <c r="B55" t="inlineStr">
        <is>
          <t>Year 32</t>
        </is>
      </c>
      <c r="C55" s="68">
        <f>E54*($C$3)</f>
        <v/>
      </c>
      <c r="D55" s="68">
        <f>C55*$C$10 +C55*$C$11+C55*$C$12</f>
        <v/>
      </c>
      <c r="E55" s="68">
        <f>E54+C55-D55+$C$5+$C$6</f>
        <v/>
      </c>
      <c r="F55" s="68">
        <f>E55/POWER(1+$C$19,A55)</f>
        <v/>
      </c>
      <c r="G55" s="68">
        <f>(E54*$C$10)/POWER(1+$C$19,A55)</f>
        <v/>
      </c>
      <c r="H55" s="68">
        <f>G54+G55</f>
        <v/>
      </c>
      <c r="I55">
        <f>I54+1</f>
        <v/>
      </c>
    </row>
    <row r="56">
      <c r="A56" t="n">
        <v>33</v>
      </c>
      <c r="B56" t="inlineStr">
        <is>
          <t>Year 33</t>
        </is>
      </c>
      <c r="C56" s="68">
        <f>E55*($C$3)</f>
        <v/>
      </c>
      <c r="D56" s="68">
        <f>C56*$C$10 +C56*$C$11+C56*$C$12</f>
        <v/>
      </c>
      <c r="E56" s="68">
        <f>E55+C56-D56+$C$5+$C$6</f>
        <v/>
      </c>
      <c r="F56" s="68">
        <f>E56/POWER(1+$C$19,A56)</f>
        <v/>
      </c>
      <c r="G56" s="68">
        <f>(E55*$C$10)/POWER(1+$C$19,A56)</f>
        <v/>
      </c>
      <c r="H56" s="68">
        <f>G55+G56</f>
        <v/>
      </c>
      <c r="I56">
        <f>I55+1</f>
        <v/>
      </c>
    </row>
    <row r="57">
      <c r="A57" t="n">
        <v>34</v>
      </c>
      <c r="B57" t="inlineStr">
        <is>
          <t>Year 34</t>
        </is>
      </c>
      <c r="C57" s="68">
        <f>E56*($C$3)</f>
        <v/>
      </c>
      <c r="D57" s="68">
        <f>C57*$C$10 +C57*$C$11+C57*$C$12</f>
        <v/>
      </c>
      <c r="E57" s="68">
        <f>E56+C57-D57+$C$5+$C$6</f>
        <v/>
      </c>
      <c r="F57" s="68">
        <f>E57/POWER(1+$C$19,A57)</f>
        <v/>
      </c>
      <c r="G57" s="68">
        <f>(E56*$C$10)/POWER(1+$C$19,A57)</f>
        <v/>
      </c>
      <c r="H57" s="68">
        <f>G56+G57</f>
        <v/>
      </c>
      <c r="I57">
        <f>I56+1</f>
        <v/>
      </c>
    </row>
    <row r="58">
      <c r="A58" t="n">
        <v>35</v>
      </c>
      <c r="B58" t="inlineStr">
        <is>
          <t>Year 35</t>
        </is>
      </c>
      <c r="C58" s="68">
        <f>E57*($C$3)</f>
        <v/>
      </c>
      <c r="D58" s="68">
        <f>C58*$C$10 +C58*$C$11+C58*$C$12</f>
        <v/>
      </c>
      <c r="E58" s="68">
        <f>E57+C58-D58+$C$5+$C$6</f>
        <v/>
      </c>
      <c r="F58" s="68">
        <f>E58/POWER(1+$C$19,A58)</f>
        <v/>
      </c>
      <c r="G58" s="68">
        <f>(E57*$C$10)/POWER(1+$C$19,A58)</f>
        <v/>
      </c>
      <c r="H58" s="68">
        <f>G57+G58</f>
        <v/>
      </c>
      <c r="I58">
        <f>I57+1</f>
        <v/>
      </c>
    </row>
    <row r="59">
      <c r="A59" t="n">
        <v>36</v>
      </c>
      <c r="B59" t="inlineStr">
        <is>
          <t>Year 36</t>
        </is>
      </c>
      <c r="C59" s="68">
        <f>E58*($C$3)</f>
        <v/>
      </c>
      <c r="D59" s="68">
        <f>C59*$C$10 +C59*$C$11+C59*$C$12</f>
        <v/>
      </c>
      <c r="E59" s="68">
        <f>E58+C59-D59+$C$5+$C$6</f>
        <v/>
      </c>
      <c r="F59" s="68">
        <f>E59/POWER(1+$C$19,A59)</f>
        <v/>
      </c>
      <c r="G59" s="68">
        <f>(E58*$C$10)/POWER(1+$C$19,A59)</f>
        <v/>
      </c>
      <c r="H59" s="68">
        <f>G58+G59</f>
        <v/>
      </c>
      <c r="I59">
        <f>I58+1</f>
        <v/>
      </c>
    </row>
    <row r="60">
      <c r="A60" t="n">
        <v>37</v>
      </c>
      <c r="B60" t="inlineStr">
        <is>
          <t>Year 37</t>
        </is>
      </c>
      <c r="C60" s="68">
        <f>E59*($C$3)</f>
        <v/>
      </c>
      <c r="D60" s="68">
        <f>C60*$C$10 +C60*$C$11+C60*$C$12</f>
        <v/>
      </c>
      <c r="E60" s="68">
        <f>E59+C60-D60+$C$5+$C$6</f>
        <v/>
      </c>
      <c r="F60" s="68">
        <f>E60/POWER(1+$C$19,A60)</f>
        <v/>
      </c>
      <c r="G60" s="68">
        <f>(E59*$C$10)/POWER(1+$C$19,A60)</f>
        <v/>
      </c>
      <c r="H60" s="68">
        <f>G59+G60</f>
        <v/>
      </c>
      <c r="I60">
        <f>I59+1</f>
        <v/>
      </c>
    </row>
    <row r="61">
      <c r="A61" t="n">
        <v>38</v>
      </c>
      <c r="B61" t="inlineStr">
        <is>
          <t>Year 38</t>
        </is>
      </c>
      <c r="C61" s="68">
        <f>E60*($C$3)</f>
        <v/>
      </c>
      <c r="D61" s="68">
        <f>C61*$C$10 +C61*$C$11+C61*$C$12</f>
        <v/>
      </c>
      <c r="E61" s="68">
        <f>E60+C61-D61+$C$5+$C$6</f>
        <v/>
      </c>
      <c r="F61" s="68">
        <f>E61/POWER(1+$C$19,A61)</f>
        <v/>
      </c>
      <c r="G61" s="68">
        <f>(E60*$C$10)/POWER(1+$C$19,A61)</f>
        <v/>
      </c>
      <c r="H61" s="68">
        <f>G60+G61</f>
        <v/>
      </c>
      <c r="I61">
        <f>I60+1</f>
        <v/>
      </c>
    </row>
    <row r="62">
      <c r="A62" t="n">
        <v>39</v>
      </c>
      <c r="B62" t="inlineStr">
        <is>
          <t>Year 39</t>
        </is>
      </c>
      <c r="C62" s="68">
        <f>E61*($C$3)</f>
        <v/>
      </c>
      <c r="D62" s="68">
        <f>C62*$C$10 +C62*$C$11+C62*$C$12</f>
        <v/>
      </c>
      <c r="E62" s="68">
        <f>E61+C62-D62+$C$5+$C$6</f>
        <v/>
      </c>
      <c r="F62" s="68">
        <f>E62/POWER(1+$C$19,A62)</f>
        <v/>
      </c>
      <c r="G62" s="68">
        <f>(E61*$C$10)/POWER(1+$C$19,A62)</f>
        <v/>
      </c>
      <c r="H62" s="68">
        <f>G61+G62</f>
        <v/>
      </c>
      <c r="I62">
        <f>I61+1</f>
        <v/>
      </c>
    </row>
    <row r="63">
      <c r="C63" s="68" t="n"/>
      <c r="D63" s="68" t="n"/>
      <c r="E63" s="68" t="n"/>
      <c r="F63" s="68" t="n"/>
      <c r="G63" s="68" t="n"/>
      <c r="H63" s="68" t="n"/>
    </row>
    <row r="64">
      <c r="C64" s="68" t="n"/>
      <c r="D64" s="68" t="n"/>
      <c r="E64" s="68" t="n"/>
      <c r="F64" s="68" t="n"/>
      <c r="G64" s="68" t="n"/>
      <c r="H64" s="68" t="n"/>
    </row>
    <row r="65">
      <c r="C65" s="68" t="n"/>
      <c r="D65" s="68" t="n"/>
      <c r="E65" s="68" t="n"/>
      <c r="F65" s="68" t="n"/>
      <c r="G65" s="68" t="n"/>
      <c r="H65" s="68" t="n"/>
    </row>
    <row r="66">
      <c r="C66" s="68" t="n"/>
      <c r="D66" s="68" t="n"/>
      <c r="E66" s="68" t="n"/>
      <c r="F66" s="68" t="n"/>
      <c r="G66" s="68" t="n"/>
      <c r="H66" s="68" t="n"/>
    </row>
    <row r="67">
      <c r="C67" s="68" t="n"/>
      <c r="D67" s="68" t="n"/>
      <c r="E67" s="68" t="n"/>
      <c r="F67" s="68" t="n"/>
      <c r="G67" s="68" t="n"/>
      <c r="H67" s="68" t="n"/>
    </row>
    <row r="68">
      <c r="C68" s="68" t="n"/>
      <c r="D68" s="68" t="n"/>
      <c r="E68" s="68" t="n"/>
      <c r="F68" s="68" t="n"/>
      <c r="G68" s="68" t="n"/>
      <c r="H68" s="68" t="n"/>
    </row>
    <row r="69">
      <c r="C69" s="68" t="n"/>
      <c r="D69" s="68" t="n"/>
      <c r="E69" s="68" t="n"/>
      <c r="F69" s="68" t="n"/>
      <c r="G69" s="68" t="n"/>
      <c r="H69" s="68" t="n"/>
    </row>
    <row r="70">
      <c r="C70" s="68" t="n"/>
      <c r="D70" s="68" t="n"/>
      <c r="E70" s="68" t="n"/>
      <c r="F70" s="68" t="n"/>
      <c r="G70" s="68" t="n"/>
      <c r="H70" s="68" t="n"/>
    </row>
    <row r="71">
      <c r="C71" s="68" t="n"/>
      <c r="D71" s="68" t="n"/>
      <c r="E71" s="68" t="n"/>
      <c r="F71" s="68" t="n"/>
      <c r="G71" s="68" t="n"/>
      <c r="H71" s="68" t="n"/>
    </row>
    <row r="72">
      <c r="C72" s="68" t="n"/>
      <c r="D72" s="68" t="n"/>
      <c r="E72" s="68" t="n"/>
      <c r="F72" s="68" t="n"/>
      <c r="G72" s="68" t="n"/>
      <c r="H72" s="68" t="n"/>
    </row>
    <row r="73">
      <c r="C73" s="68" t="n"/>
      <c r="D73" s="68" t="n"/>
      <c r="E73" s="68" t="n"/>
      <c r="F73" s="68" t="n"/>
      <c r="G73" s="68" t="n"/>
      <c r="H73" s="68" t="n"/>
    </row>
    <row r="74">
      <c r="C74" s="68" t="n"/>
      <c r="D74" s="68" t="n"/>
      <c r="E74" s="68" t="n"/>
      <c r="F74" s="68" t="n"/>
      <c r="G74" s="68" t="n"/>
      <c r="H74" s="68" t="n"/>
    </row>
    <row r="75">
      <c r="C75" s="68" t="n"/>
      <c r="D75" s="68" t="n"/>
      <c r="E75" s="68" t="n"/>
      <c r="F75" s="68" t="n"/>
      <c r="G75" s="68" t="n"/>
      <c r="H75" s="68" t="n"/>
    </row>
    <row r="76">
      <c r="C76" s="68" t="n"/>
      <c r="D76" s="68" t="n"/>
      <c r="E76" s="68" t="n"/>
      <c r="F76" s="68" t="n"/>
      <c r="G76" s="68" t="n"/>
      <c r="H76" s="68" t="n"/>
    </row>
    <row r="77">
      <c r="C77" s="68" t="n"/>
      <c r="D77" s="68" t="n"/>
      <c r="E77" s="68" t="n"/>
      <c r="F77" s="68" t="n"/>
      <c r="G77" s="68" t="n"/>
      <c r="H77" s="68" t="n"/>
    </row>
    <row r="78">
      <c r="C78" s="68" t="n"/>
      <c r="D78" s="68" t="n"/>
      <c r="E78" s="68" t="n"/>
      <c r="F78" s="68" t="n"/>
      <c r="G78" s="68" t="n"/>
      <c r="H78" s="68" t="n"/>
    </row>
    <row r="79">
      <c r="C79" s="68" t="n"/>
      <c r="D79" s="68" t="n"/>
      <c r="E79" s="68" t="n"/>
      <c r="F79" s="68" t="n"/>
      <c r="G79" s="68" t="n"/>
      <c r="H79" s="68" t="n"/>
    </row>
    <row r="80">
      <c r="C80" s="68" t="n"/>
      <c r="D80" s="68" t="n"/>
      <c r="E80" s="68" t="n"/>
      <c r="F80" s="68" t="n"/>
      <c r="G80" s="68" t="n"/>
      <c r="H80" s="68" t="n"/>
    </row>
    <row r="81">
      <c r="C81" s="68" t="n"/>
      <c r="D81" s="68" t="n"/>
      <c r="E81" s="68" t="n"/>
      <c r="F81" s="68" t="n"/>
      <c r="G81" s="68" t="n"/>
      <c r="H81" s="68" t="n"/>
    </row>
    <row r="82">
      <c r="C82" s="68" t="n"/>
      <c r="D82" s="68" t="n"/>
      <c r="E82" s="68" t="n"/>
      <c r="F82" s="68" t="n"/>
      <c r="G82" s="68" t="n"/>
      <c r="H82" s="68" t="n"/>
    </row>
    <row r="83">
      <c r="C83" s="68" t="n"/>
      <c r="D83" s="68" t="n"/>
      <c r="E83" s="68" t="n"/>
      <c r="F83" s="68" t="n"/>
      <c r="G83" s="68" t="n"/>
      <c r="H83" s="68" t="n"/>
    </row>
    <row r="84">
      <c r="C84" s="68" t="n"/>
      <c r="D84" s="68" t="n"/>
      <c r="E84" s="68" t="n"/>
      <c r="F84" s="68" t="n"/>
      <c r="G84" s="68" t="n"/>
      <c r="H84" s="68" t="n"/>
    </row>
    <row r="85">
      <c r="C85" s="68" t="n"/>
      <c r="D85" s="68" t="n"/>
      <c r="E85" s="68" t="n"/>
      <c r="F85" s="68" t="n"/>
      <c r="G85" s="68" t="n"/>
      <c r="H85" s="68" t="n"/>
    </row>
    <row r="86">
      <c r="C86" s="68" t="n"/>
      <c r="D86" s="68" t="n"/>
      <c r="E86" s="68" t="n"/>
      <c r="F86" s="68" t="n"/>
      <c r="G86" s="68" t="n"/>
      <c r="H86" s="68" t="n"/>
    </row>
    <row r="87">
      <c r="C87" s="68" t="n"/>
      <c r="D87" s="68" t="n"/>
      <c r="E87" s="68" t="n"/>
      <c r="F87" s="68" t="n"/>
      <c r="G87" s="68" t="n"/>
      <c r="H87" s="68" t="n"/>
    </row>
    <row r="88">
      <c r="C88" s="68" t="n"/>
      <c r="D88" s="68" t="n"/>
      <c r="E88" s="68" t="n"/>
      <c r="F88" s="68" t="n"/>
      <c r="G88" s="68" t="n"/>
      <c r="H88" s="68" t="n"/>
    </row>
    <row r="89">
      <c r="C89" s="68" t="n"/>
      <c r="D89" s="68" t="n"/>
      <c r="E89" s="68" t="n"/>
      <c r="F89" s="70" t="n"/>
      <c r="G89" s="68" t="n"/>
      <c r="H89" s="68" t="n"/>
    </row>
    <row r="90">
      <c r="C90" s="68" t="n"/>
      <c r="D90" s="68" t="n"/>
      <c r="E90" s="68" t="n"/>
      <c r="F90" s="68" t="n"/>
      <c r="G90" s="68" t="n"/>
      <c r="H90" s="68" t="n"/>
    </row>
    <row r="91">
      <c r="C91" s="68" t="n"/>
      <c r="D91" s="68" t="n"/>
      <c r="E91" s="68" t="n"/>
      <c r="F91" s="68" t="n"/>
      <c r="G91" s="68" t="n"/>
      <c r="H91" s="68" t="n"/>
    </row>
    <row r="92">
      <c r="C92" s="68" t="n"/>
      <c r="D92" s="68" t="n"/>
      <c r="E92" s="68" t="n"/>
      <c r="F92" s="68" t="n"/>
      <c r="G92" s="68" t="n"/>
      <c r="H92" s="68" t="n"/>
    </row>
    <row r="93">
      <c r="C93" s="68" t="n"/>
      <c r="D93" s="68" t="n"/>
      <c r="E93" s="68" t="n"/>
      <c r="F93" s="68" t="n"/>
      <c r="G93" s="68" t="n"/>
      <c r="H93" s="68" t="n"/>
    </row>
    <row r="94">
      <c r="C94" s="68" t="n"/>
      <c r="D94" s="68" t="n"/>
      <c r="E94" s="68" t="n"/>
      <c r="F94" s="68" t="n"/>
      <c r="G94" s="68" t="n"/>
      <c r="H94" s="68" t="n"/>
    </row>
    <row r="95">
      <c r="C95" s="68" t="n"/>
      <c r="D95" s="68" t="n"/>
      <c r="E95" s="68" t="n"/>
      <c r="F95" s="68" t="n"/>
      <c r="G95" s="68" t="n"/>
      <c r="H95" s="68" t="n"/>
    </row>
    <row r="96">
      <c r="C96" s="68" t="n"/>
      <c r="D96" s="68" t="n"/>
      <c r="E96" s="68" t="n"/>
      <c r="F96" s="68" t="n"/>
      <c r="G96" s="68" t="n"/>
      <c r="H96" s="68" t="n"/>
    </row>
    <row r="97">
      <c r="C97" s="68" t="n"/>
      <c r="D97" s="68" t="n"/>
      <c r="E97" s="68" t="n"/>
      <c r="F97" s="68" t="n"/>
      <c r="G97" s="68" t="n"/>
      <c r="H97" s="68" t="n"/>
    </row>
    <row r="98">
      <c r="C98" s="68" t="n"/>
      <c r="D98" s="68" t="n"/>
      <c r="E98" s="68" t="n"/>
      <c r="F98" s="68" t="n"/>
      <c r="G98" s="68" t="n"/>
      <c r="H98" s="68" t="n"/>
    </row>
    <row r="99">
      <c r="C99" s="68" t="n"/>
      <c r="D99" s="68" t="n"/>
      <c r="E99" s="68" t="n"/>
      <c r="F99" s="68" t="n"/>
      <c r="G99" s="68" t="n"/>
      <c r="H99" s="68" t="n"/>
    </row>
    <row r="100">
      <c r="C100" s="68" t="n"/>
      <c r="D100" s="68" t="n"/>
      <c r="E100" s="68" t="n"/>
      <c r="F100" s="68" t="n"/>
      <c r="G100" s="68" t="n"/>
      <c r="H100" s="68" t="n"/>
    </row>
    <row r="101">
      <c r="C101" s="68" t="n"/>
      <c r="D101" s="68" t="n"/>
      <c r="E101" s="68" t="n"/>
      <c r="F101" s="68" t="n"/>
      <c r="G101" s="68" t="n"/>
      <c r="H101" s="68" t="n"/>
    </row>
    <row r="102">
      <c r="C102" s="68" t="n"/>
      <c r="D102" s="68" t="n"/>
      <c r="E102" s="68" t="n"/>
      <c r="F102" s="68" t="n"/>
      <c r="G102" s="68" t="n"/>
      <c r="H102" s="68" t="n"/>
    </row>
    <row r="103">
      <c r="C103" s="68" t="n"/>
      <c r="D103" s="68" t="n"/>
      <c r="E103" s="68" t="n"/>
      <c r="F103" s="68" t="n"/>
      <c r="G103" s="68" t="n"/>
      <c r="H103" s="68" t="n"/>
    </row>
    <row r="104">
      <c r="C104" s="68" t="n"/>
      <c r="D104" s="68" t="n"/>
      <c r="E104" s="68" t="n"/>
      <c r="F104" s="68" t="n"/>
      <c r="G104" s="68" t="n"/>
      <c r="H104" s="68" t="n"/>
    </row>
    <row r="105">
      <c r="C105" s="68" t="n"/>
      <c r="D105" s="68" t="n"/>
      <c r="E105" s="68" t="n"/>
      <c r="F105" s="68" t="n"/>
      <c r="G105" s="68" t="n"/>
      <c r="H105" s="68" t="n"/>
    </row>
    <row r="106">
      <c r="C106" s="68" t="n"/>
      <c r="D106" s="68" t="n"/>
      <c r="E106" s="68" t="n"/>
      <c r="F106" s="68" t="n"/>
      <c r="G106" s="68" t="n"/>
      <c r="H106" s="68" t="n"/>
    </row>
    <row r="107">
      <c r="C107" s="68" t="n"/>
      <c r="D107" s="68" t="n"/>
      <c r="E107" s="68" t="n"/>
      <c r="F107" s="68" t="n"/>
      <c r="G107" s="68" t="n"/>
      <c r="H107" s="68" t="n"/>
    </row>
    <row r="108">
      <c r="C108" s="68" t="n"/>
      <c r="D108" s="68" t="n"/>
      <c r="E108" s="68" t="n"/>
      <c r="F108" s="68" t="n"/>
      <c r="G108" s="68" t="n"/>
      <c r="H108" s="68" t="n"/>
    </row>
    <row r="109">
      <c r="C109" s="68" t="n"/>
      <c r="D109" s="68" t="n"/>
      <c r="E109" s="68" t="n"/>
      <c r="F109" s="68" t="n"/>
      <c r="G109" s="68" t="n"/>
      <c r="H109" s="68" t="n"/>
    </row>
    <row r="110">
      <c r="C110" s="68" t="n"/>
      <c r="D110" s="68" t="n"/>
      <c r="E110" s="68" t="n"/>
      <c r="F110" s="68" t="n"/>
      <c r="G110" s="68" t="n"/>
      <c r="H110" s="68" t="n"/>
    </row>
    <row r="111">
      <c r="C111" s="68" t="n"/>
      <c r="D111" s="68" t="n"/>
      <c r="E111" s="68" t="n"/>
      <c r="F111" s="68" t="n"/>
      <c r="G111" s="68" t="n"/>
      <c r="H111" s="68" t="n"/>
    </row>
    <row r="112">
      <c r="C112" s="68" t="n"/>
      <c r="D112" s="68" t="n"/>
      <c r="E112" s="68" t="n"/>
      <c r="F112" s="68" t="n"/>
      <c r="G112" s="68" t="n"/>
      <c r="H112" s="68" t="n"/>
    </row>
    <row r="113">
      <c r="C113" s="68" t="n"/>
      <c r="D113" s="68" t="n"/>
      <c r="E113" s="68" t="n"/>
      <c r="F113" s="68" t="n"/>
      <c r="G113" s="68" t="n"/>
      <c r="H113" s="68" t="n"/>
    </row>
    <row r="114">
      <c r="C114" s="68" t="n"/>
      <c r="D114" s="68" t="n"/>
      <c r="E114" s="68" t="n"/>
      <c r="F114" s="68" t="n"/>
      <c r="G114" s="68" t="n"/>
      <c r="H114" s="68" t="n"/>
    </row>
    <row r="115">
      <c r="C115" s="68" t="n"/>
      <c r="D115" s="68" t="n"/>
      <c r="E115" s="68" t="n"/>
      <c r="F115" s="68" t="n"/>
      <c r="G115" s="68" t="n"/>
      <c r="H115" s="68" t="n"/>
    </row>
    <row r="116">
      <c r="C116" s="68" t="n"/>
      <c r="D116" s="68" t="n"/>
      <c r="E116" s="68" t="n"/>
      <c r="F116" s="68" t="n"/>
      <c r="G116" s="68" t="n"/>
      <c r="H116" s="68" t="n"/>
    </row>
    <row r="117">
      <c r="C117" s="68" t="n"/>
      <c r="D117" s="68" t="n"/>
      <c r="E117" s="68" t="n"/>
      <c r="F117" s="68" t="n"/>
      <c r="G117" s="68" t="n"/>
      <c r="H117" s="68" t="n"/>
    </row>
    <row r="118">
      <c r="C118" s="68" t="n"/>
      <c r="D118" s="68" t="n"/>
      <c r="E118" s="68" t="n"/>
      <c r="F118" s="68" t="n"/>
      <c r="G118" s="68" t="n"/>
      <c r="H118" s="68" t="n"/>
    </row>
    <row r="119">
      <c r="C119" s="68" t="n"/>
      <c r="D119" s="68" t="n"/>
      <c r="E119" s="68" t="n"/>
      <c r="F119" s="68" t="n"/>
      <c r="G119" s="68" t="n"/>
      <c r="H119" s="68" t="n"/>
    </row>
    <row r="120">
      <c r="C120" s="68" t="n"/>
      <c r="D120" s="68" t="n"/>
      <c r="E120" s="68" t="n"/>
      <c r="F120" s="68" t="n"/>
      <c r="G120" s="68" t="n"/>
      <c r="H120" s="68" t="n"/>
    </row>
    <row r="121">
      <c r="C121" s="68" t="n"/>
      <c r="D121" s="68" t="n"/>
      <c r="E121" s="68" t="n"/>
      <c r="F121" s="68" t="n"/>
      <c r="G121" s="68" t="n"/>
      <c r="H121" s="68" t="n"/>
    </row>
    <row r="122">
      <c r="C122" s="68" t="n"/>
      <c r="D122" s="68" t="n"/>
      <c r="E122" s="68" t="n"/>
      <c r="F122" s="68" t="n"/>
      <c r="G122" s="68" t="n"/>
      <c r="H122" s="68" t="n"/>
    </row>
  </sheetData>
  <pageMargins left="0.75" right="0.75" top="1" bottom="1" header="0.5" footer="0.5"/>
  <pageSetup orientation="portrait" horizontalDpi="4294967292" verticalDpi="4294967292"/>
</worksheet>
</file>

<file path=xl/worksheets/sheet2.xml><?xml version="1.0" encoding="utf-8"?>
<worksheet xmlns="http://schemas.openxmlformats.org/spreadsheetml/2006/main">
  <sheetPr>
    <outlinePr summaryBelow="1" summaryRight="1"/>
    <pageSetUpPr/>
  </sheetPr>
  <dimension ref="A1:L100"/>
  <sheetViews>
    <sheetView topLeftCell="A53" workbookViewId="0">
      <pane xSplit="7" ySplit="8" topLeftCell="H61" activePane="bottomRight" state="frozen"/>
      <selection pane="topRight" activeCell="A1" sqref="A1"/>
      <selection pane="bottomLeft" activeCell="A1" sqref="A1"/>
      <selection pane="bottomRight" activeCell="A1" sqref="A1"/>
    </sheetView>
  </sheetViews>
  <sheetFormatPr baseColWidth="8" defaultRowHeight="15"/>
  <cols>
    <col width="16.5" customWidth="1" style="20" min="1" max="1"/>
    <col width="6.125" customWidth="1" style="20" min="2" max="2"/>
    <col width="13.875" customWidth="1" style="20" min="3" max="3"/>
    <col width="14" customWidth="1" style="20" min="4" max="4"/>
    <col width="9" customWidth="1" style="20" min="5" max="7"/>
    <col width="13.125" customWidth="1" style="20" min="8" max="8"/>
    <col width="16.25" customWidth="1" style="20" min="9" max="9"/>
    <col width="20.375" customWidth="1" style="20" min="10" max="10"/>
    <col width="21.75" customWidth="1" style="20" min="11" max="11"/>
    <col width="13.375" customWidth="1" style="20" min="12" max="12"/>
    <col width="9" customWidth="1" style="20" min="13" max="16384"/>
  </cols>
  <sheetData>
    <row r="1" hidden="1" s="57">
      <c r="A1" s="21" t="inlineStr">
        <is>
          <t>If the rate of interest is 8% then 100 dollars 20 years from now is worth</t>
        </is>
      </c>
    </row>
    <row r="2" hidden="1" s="57">
      <c r="A2" s="19" t="inlineStr">
        <is>
          <t>]=100/(1+0.08)^20</t>
        </is>
      </c>
      <c r="B2" s="20" t="n"/>
      <c r="C2" s="20" t="n"/>
      <c r="E2" s="19">
        <f>100/(1+0.08)^20</f>
        <v/>
      </c>
    </row>
    <row r="3" hidden="1" s="57">
      <c r="A3" s="21" t="inlineStr">
        <is>
          <t>This is the opposite as figuring out how much 100 dollars today would be worth in 20 years with interest would be</t>
        </is>
      </c>
      <c r="B3" s="20" t="n"/>
      <c r="C3" s="20" t="n"/>
    </row>
    <row r="4" hidden="1" s="57">
      <c r="A4" s="19" t="inlineStr">
        <is>
          <t>]=100*(1+0.08)^20</t>
        </is>
      </c>
      <c r="B4" s="20" t="n"/>
      <c r="C4" s="20" t="n"/>
      <c r="E4" s="19">
        <f>100*(1+0.08)^20</f>
        <v/>
      </c>
    </row>
    <row r="5" hidden="1" s="57">
      <c r="A5" s="21" t="inlineStr">
        <is>
          <t>Inflation is the same thing except that causes our money to be would less. So if we have 3% inflation then we have</t>
        </is>
      </c>
      <c r="B5" s="20" t="n"/>
      <c r="C5" s="20" t="n"/>
    </row>
    <row r="6" hidden="1" s="57">
      <c r="A6" s="19" t="inlineStr">
        <is>
          <t>]=100/(1+0.08)^20*(1+0.03)^20</t>
        </is>
      </c>
      <c r="B6" s="20" t="n"/>
      <c r="C6" s="20" t="n"/>
      <c r="E6" s="19">
        <f>100/(1+0.08)^20*(1+0.03)^20</f>
        <v/>
      </c>
    </row>
    <row r="7" hidden="1" s="57">
      <c r="A7" s="21" t="inlineStr">
        <is>
          <t>for our first formula</t>
        </is>
      </c>
      <c r="B7" s="20" t="n"/>
      <c r="C7" s="20" t="n"/>
    </row>
    <row r="8" hidden="1" s="57">
      <c r="A8" s="19" t="inlineStr">
        <is>
          <t>]=100*(1+0.08)^20/(1+0.03)^20</t>
        </is>
      </c>
      <c r="B8" s="20" t="n"/>
      <c r="C8" s="20" t="n"/>
      <c r="E8" s="19">
        <f>100*(1+0.08)^20/(1+0.03)^20</f>
        <v/>
      </c>
    </row>
    <row r="9" hidden="1" s="57">
      <c r="A9" s="20" t="n"/>
      <c r="B9" s="20" t="n"/>
      <c r="C9" s="20" t="inlineStr">
        <is>
          <t>Revenue as of today</t>
        </is>
      </c>
      <c r="D9" s="20" t="inlineStr">
        <is>
          <t>Return 15% p.a</t>
        </is>
      </c>
      <c r="E9" s="20" t="inlineStr">
        <is>
          <t>Inflation adjusted revenue (growth = 5.5%)</t>
        </is>
      </c>
    </row>
    <row r="10" hidden="1" ht="15.75" customHeight="1" s="57">
      <c r="C10" s="22">
        <f>10000/30</f>
        <v/>
      </c>
      <c r="D10" s="23">
        <f>C10*(1+0.15)^40</f>
        <v/>
      </c>
      <c r="E10" s="23">
        <f>C10*(1+0.15)^40/(1+0.055)^40</f>
        <v/>
      </c>
    </row>
    <row r="11" hidden="1" ht="15.75" customHeight="1" s="57">
      <c r="B11" s="20" t="inlineStr">
        <is>
          <t>Y1</t>
        </is>
      </c>
      <c r="C11" s="23">
        <f>C10*(1+0.15)</f>
        <v/>
      </c>
    </row>
    <row r="12" hidden="1" ht="15.75" customHeight="1" s="57">
      <c r="B12" s="20" t="inlineStr">
        <is>
          <t>Y2</t>
        </is>
      </c>
      <c r="C12" s="23">
        <f>C11*(1+0.15)</f>
        <v/>
      </c>
    </row>
    <row r="13" hidden="1" ht="15.75" customHeight="1" s="57">
      <c r="B13" s="20" t="inlineStr">
        <is>
          <t>Y3</t>
        </is>
      </c>
      <c r="C13" s="23">
        <f>C12*(1+0.15)</f>
        <v/>
      </c>
    </row>
    <row r="14" hidden="1" ht="15.75" customHeight="1" s="57">
      <c r="B14" s="20" t="inlineStr">
        <is>
          <t>Y4</t>
        </is>
      </c>
      <c r="C14" s="23">
        <f>C13*(1+0.15)</f>
        <v/>
      </c>
    </row>
    <row r="15" hidden="1" ht="15.75" customHeight="1" s="57">
      <c r="B15" s="20" t="inlineStr">
        <is>
          <t>Y5</t>
        </is>
      </c>
      <c r="C15" s="23">
        <f>C14*(1+0.15)</f>
        <v/>
      </c>
    </row>
    <row r="16" hidden="1" ht="15.75" customHeight="1" s="57">
      <c r="B16" s="20" t="inlineStr">
        <is>
          <t>Y6</t>
        </is>
      </c>
      <c r="C16" s="23">
        <f>C15*(1+0.15)</f>
        <v/>
      </c>
    </row>
    <row r="17" hidden="1" ht="15.75" customHeight="1" s="57">
      <c r="B17" s="20" t="inlineStr">
        <is>
          <t>Y7</t>
        </is>
      </c>
      <c r="C17" s="23">
        <f>C16*(1+0.15)</f>
        <v/>
      </c>
    </row>
    <row r="18" hidden="1" ht="15.75" customHeight="1" s="57">
      <c r="B18" s="20" t="inlineStr">
        <is>
          <t>Y8</t>
        </is>
      </c>
      <c r="C18" s="23">
        <f>C17*(1+0.15)</f>
        <v/>
      </c>
    </row>
    <row r="19" hidden="1" ht="15.75" customHeight="1" s="57">
      <c r="B19" s="20" t="inlineStr">
        <is>
          <t>Y9</t>
        </is>
      </c>
      <c r="C19" s="23">
        <f>C18*(1+0.15)</f>
        <v/>
      </c>
    </row>
    <row r="20" hidden="1" ht="15.75" customHeight="1" s="57">
      <c r="B20" s="20" t="inlineStr">
        <is>
          <t>Y10</t>
        </is>
      </c>
      <c r="C20" s="23">
        <f>C19*(1+0.15)</f>
        <v/>
      </c>
    </row>
    <row r="21" hidden="1" ht="15.75" customHeight="1" s="57">
      <c r="B21" s="20" t="inlineStr">
        <is>
          <t>Y11</t>
        </is>
      </c>
      <c r="C21" s="23">
        <f>C20*(1+0.15)</f>
        <v/>
      </c>
    </row>
    <row r="22" hidden="1" ht="15.75" customHeight="1" s="57">
      <c r="B22" s="20" t="inlineStr">
        <is>
          <t>Y12</t>
        </is>
      </c>
      <c r="C22" s="23">
        <f>C21*(1+0.15)</f>
        <v/>
      </c>
    </row>
    <row r="23" hidden="1" ht="15.75" customHeight="1" s="57">
      <c r="B23" s="20" t="inlineStr">
        <is>
          <t>Y13</t>
        </is>
      </c>
      <c r="C23" s="23">
        <f>C22*(1+0.15)</f>
        <v/>
      </c>
    </row>
    <row r="24" hidden="1" ht="15.75" customHeight="1" s="57">
      <c r="B24" s="20" t="inlineStr">
        <is>
          <t>Y14</t>
        </is>
      </c>
      <c r="C24" s="23">
        <f>C23*(1+0.15)</f>
        <v/>
      </c>
    </row>
    <row r="25" hidden="1" ht="15.75" customHeight="1" s="57">
      <c r="B25" s="20" t="inlineStr">
        <is>
          <t>Y15</t>
        </is>
      </c>
      <c r="C25" s="23">
        <f>C24*(1+0.15)</f>
        <v/>
      </c>
    </row>
    <row r="26" hidden="1" ht="15.75" customHeight="1" s="57">
      <c r="B26" s="20" t="inlineStr">
        <is>
          <t>Y16</t>
        </is>
      </c>
      <c r="C26" s="23">
        <f>C25*(1+0.15)</f>
        <v/>
      </c>
    </row>
    <row r="27" hidden="1" ht="15.75" customHeight="1" s="57">
      <c r="B27" s="20" t="inlineStr">
        <is>
          <t>Y17</t>
        </is>
      </c>
      <c r="C27" s="23">
        <f>C26*(1+0.15)</f>
        <v/>
      </c>
    </row>
    <row r="28" hidden="1" ht="15.75" customHeight="1" s="57">
      <c r="B28" s="20" t="inlineStr">
        <is>
          <t>Y18</t>
        </is>
      </c>
      <c r="C28" s="23">
        <f>C27*(1+0.15)</f>
        <v/>
      </c>
    </row>
    <row r="29" hidden="1" ht="15.75" customHeight="1" s="57">
      <c r="B29" s="20" t="inlineStr">
        <is>
          <t>Y19</t>
        </is>
      </c>
      <c r="C29" s="23">
        <f>C28*(1+0.15)</f>
        <v/>
      </c>
    </row>
    <row r="30" hidden="1" ht="15.75" customHeight="1" s="57">
      <c r="B30" s="20" t="inlineStr">
        <is>
          <t>Y20</t>
        </is>
      </c>
      <c r="C30" s="23">
        <f>C29*(1+0.15)</f>
        <v/>
      </c>
    </row>
    <row r="31" hidden="1" ht="15.75" customHeight="1" s="57">
      <c r="B31" s="20" t="inlineStr">
        <is>
          <t>Y21</t>
        </is>
      </c>
      <c r="C31" s="23">
        <f>C30*(1+0.15)</f>
        <v/>
      </c>
    </row>
    <row r="32" hidden="1" ht="15.75" customHeight="1" s="57">
      <c r="B32" s="20" t="inlineStr">
        <is>
          <t>Y22</t>
        </is>
      </c>
      <c r="C32" s="23">
        <f>C31*(1+0.15)</f>
        <v/>
      </c>
    </row>
    <row r="33" hidden="1" ht="15.75" customHeight="1" s="57">
      <c r="B33" s="20" t="inlineStr">
        <is>
          <t>Y23</t>
        </is>
      </c>
      <c r="C33" s="23">
        <f>C32*(1+0.15)</f>
        <v/>
      </c>
    </row>
    <row r="34" hidden="1" ht="15.75" customHeight="1" s="57">
      <c r="B34" s="20" t="inlineStr">
        <is>
          <t>Y24</t>
        </is>
      </c>
      <c r="C34" s="23">
        <f>C33*(1+0.15)</f>
        <v/>
      </c>
    </row>
    <row r="35" hidden="1" ht="15.75" customHeight="1" s="57">
      <c r="B35" s="20" t="inlineStr">
        <is>
          <t>Y25</t>
        </is>
      </c>
      <c r="C35" s="23">
        <f>C34*(1+0.15)</f>
        <v/>
      </c>
    </row>
    <row r="36" hidden="1" ht="15.75" customHeight="1" s="57">
      <c r="B36" s="20" t="inlineStr">
        <is>
          <t>Y26</t>
        </is>
      </c>
      <c r="C36" s="23">
        <f>C35*(1+0.15)</f>
        <v/>
      </c>
    </row>
    <row r="37" hidden="1" ht="15.75" customHeight="1" s="57">
      <c r="B37" s="20" t="inlineStr">
        <is>
          <t>Y27</t>
        </is>
      </c>
      <c r="C37" s="23">
        <f>C36*(1+0.15)</f>
        <v/>
      </c>
    </row>
    <row r="38" hidden="1" ht="15.75" customHeight="1" s="57">
      <c r="B38" s="20" t="inlineStr">
        <is>
          <t>Y28</t>
        </is>
      </c>
      <c r="C38" s="23">
        <f>C37*(1+0.15)</f>
        <v/>
      </c>
    </row>
    <row r="39" hidden="1" ht="15.75" customHeight="1" s="57">
      <c r="B39" s="20" t="inlineStr">
        <is>
          <t>Y29</t>
        </is>
      </c>
      <c r="C39" s="23">
        <f>C38*(1+0.15)</f>
        <v/>
      </c>
    </row>
    <row r="40" hidden="1" ht="15.75" customHeight="1" s="57">
      <c r="B40" s="20" t="inlineStr">
        <is>
          <t>Y30</t>
        </is>
      </c>
      <c r="C40" s="23">
        <f>C39*(1+0.15)</f>
        <v/>
      </c>
    </row>
    <row r="41" hidden="1" ht="15.75" customHeight="1" s="57">
      <c r="B41" s="20" t="inlineStr">
        <is>
          <t>Y31</t>
        </is>
      </c>
      <c r="C41" s="23">
        <f>C40*(1+0.15)</f>
        <v/>
      </c>
    </row>
    <row r="42" hidden="1" ht="15.75" customHeight="1" s="57">
      <c r="B42" s="20" t="inlineStr">
        <is>
          <t>Y32</t>
        </is>
      </c>
      <c r="C42" s="23">
        <f>C41*(1+0.15)</f>
        <v/>
      </c>
    </row>
    <row r="43" hidden="1" ht="15.75" customHeight="1" s="57">
      <c r="B43" s="20" t="inlineStr">
        <is>
          <t>Y33</t>
        </is>
      </c>
      <c r="C43" s="23">
        <f>C42*(1+0.15)</f>
        <v/>
      </c>
    </row>
    <row r="44" hidden="1" ht="15.75" customHeight="1" s="57">
      <c r="B44" s="20" t="inlineStr">
        <is>
          <t>Y34</t>
        </is>
      </c>
      <c r="C44" s="23">
        <f>C43*(1+0.15)</f>
        <v/>
      </c>
    </row>
    <row r="45" hidden="1" ht="15.75" customHeight="1" s="57">
      <c r="B45" s="20" t="inlineStr">
        <is>
          <t>Y35</t>
        </is>
      </c>
      <c r="C45" s="23">
        <f>C44*(1+0.15)</f>
        <v/>
      </c>
    </row>
    <row r="46" hidden="1" ht="15.75" customHeight="1" s="57">
      <c r="B46" s="20" t="inlineStr">
        <is>
          <t>Y36</t>
        </is>
      </c>
      <c r="C46" s="23">
        <f>C45*(1+0.15)</f>
        <v/>
      </c>
    </row>
    <row r="47" hidden="1" ht="15.75" customHeight="1" s="57">
      <c r="B47" s="20" t="inlineStr">
        <is>
          <t>Y37</t>
        </is>
      </c>
      <c r="C47" s="23">
        <f>C46*(1+0.15)</f>
        <v/>
      </c>
    </row>
    <row r="48" hidden="1" ht="15.75" customHeight="1" s="57">
      <c r="B48" s="20" t="inlineStr">
        <is>
          <t>Y38</t>
        </is>
      </c>
      <c r="C48" s="23">
        <f>C47*(1+0.15)</f>
        <v/>
      </c>
    </row>
    <row r="49" hidden="1" ht="15.75" customHeight="1" s="57">
      <c r="B49" s="20" t="inlineStr">
        <is>
          <t>Y39</t>
        </is>
      </c>
      <c r="C49" s="23">
        <f>C48*(1+0.15)</f>
        <v/>
      </c>
    </row>
    <row r="50" hidden="1" ht="15.75" customHeight="1" s="57">
      <c r="B50" s="20" t="inlineStr">
        <is>
          <t>Y40</t>
        </is>
      </c>
      <c r="C50" s="23">
        <f>C49*(1+0.15)</f>
        <v/>
      </c>
    </row>
    <row r="51" hidden="1" s="57"/>
    <row r="52" hidden="1" s="57"/>
    <row r="53">
      <c r="J53" s="30" t="inlineStr">
        <is>
          <t>baht</t>
        </is>
      </c>
      <c r="K53" s="30" t="inlineStr">
        <is>
          <t>dollar</t>
        </is>
      </c>
    </row>
    <row r="54">
      <c r="I54" s="30" t="inlineStr">
        <is>
          <t>Revenue</t>
        </is>
      </c>
      <c r="J54" s="71" t="n">
        <v>10000000000</v>
      </c>
      <c r="K54" s="71">
        <f>J54/30</f>
        <v/>
      </c>
    </row>
    <row r="55" ht="16.5" customHeight="1" s="57">
      <c r="A55" s="63" t="inlineStr">
        <is>
          <t>Assumption</t>
        </is>
      </c>
      <c r="B55" s="64" t="n"/>
      <c r="C55" s="64" t="n"/>
      <c r="D55" s="64" t="n"/>
    </row>
    <row r="56">
      <c r="A56" s="64" t="inlineStr">
        <is>
          <t>Revenue as of today 10000 MB</t>
        </is>
      </c>
      <c r="B56" s="64" t="n"/>
      <c r="C56" s="64" t="n"/>
      <c r="D56" s="64" t="n"/>
      <c r="I56" s="30" t="inlineStr">
        <is>
          <t>inflation</t>
        </is>
      </c>
      <c r="J56" s="32" t="n">
        <v>0.03</v>
      </c>
    </row>
    <row r="57">
      <c r="A57" s="64" t="inlineStr">
        <is>
          <t>Return 15% p.a</t>
        </is>
      </c>
      <c r="B57" s="64" t="n"/>
      <c r="C57" s="64" t="n"/>
      <c r="D57" s="64" t="n"/>
    </row>
    <row r="58">
      <c r="A58" s="64" t="inlineStr">
        <is>
          <t>growth 5% (inflation)</t>
        </is>
      </c>
      <c r="B58" s="64" t="n"/>
      <c r="C58" s="64" t="n"/>
      <c r="D58" s="64" t="n"/>
    </row>
    <row r="59">
      <c r="A59" s="64" t="inlineStr">
        <is>
          <t>profit margin 15%</t>
        </is>
      </c>
      <c r="B59" s="64" t="n"/>
      <c r="C59" s="64" t="n"/>
      <c r="D59" s="64" t="n"/>
    </row>
    <row r="60">
      <c r="A60" s="64" t="inlineStr">
        <is>
          <t>2% of margin to foundation</t>
        </is>
      </c>
      <c r="B60" s="64" t="n"/>
      <c r="C60" s="64" t="n"/>
      <c r="D60" s="64" t="n"/>
      <c r="H60" s="30" t="n"/>
      <c r="I60" s="30" t="inlineStr">
        <is>
          <t>Revenue</t>
        </is>
      </c>
      <c r="J60" s="30" t="inlineStr">
        <is>
          <t>Revenue adjusted inflation</t>
        </is>
      </c>
      <c r="K60" s="30" t="n"/>
      <c r="L60" s="30" t="inlineStr">
        <is>
          <t>NPV</t>
        </is>
      </c>
    </row>
    <row r="61">
      <c r="A61" s="64" t="n"/>
      <c r="B61" s="64" t="n"/>
      <c r="C61" s="64" t="inlineStr">
        <is>
          <t>Revenue after inflation adjusted</t>
        </is>
      </c>
      <c r="D61" s="64" t="n"/>
      <c r="F61" s="20" t="n">
        <v>1</v>
      </c>
      <c r="G61" s="30" t="inlineStr">
        <is>
          <t>Year 1</t>
        </is>
      </c>
      <c r="H61" s="71" t="n"/>
      <c r="I61" s="71">
        <f>J54</f>
        <v/>
      </c>
      <c r="J61" s="71" t="n"/>
      <c r="K61" s="71" t="n"/>
      <c r="L61" s="71">
        <f>I61/POWER(1+J56,0)</f>
        <v/>
      </c>
    </row>
    <row r="62">
      <c r="A62" s="64" t="n"/>
      <c r="B62" s="64" t="n"/>
      <c r="C62" s="64" t="inlineStr">
        <is>
          <t>THB</t>
        </is>
      </c>
      <c r="D62" s="64" t="inlineStr">
        <is>
          <t>USD</t>
        </is>
      </c>
      <c r="F62" s="20" t="n">
        <v>2</v>
      </c>
      <c r="G62" s="30" t="inlineStr">
        <is>
          <t>Year 2</t>
        </is>
      </c>
      <c r="H62" s="71">
        <f>K61</f>
        <v/>
      </c>
      <c r="I62" s="71">
        <f>I61*(1+0.05)</f>
        <v/>
      </c>
      <c r="J62" s="71">
        <f>I62*(1+$J$56)</f>
        <v/>
      </c>
      <c r="K62" s="71" t="n"/>
      <c r="L62" s="71">
        <f>I62/POWER(1+$J$56,F62-1)</f>
        <v/>
      </c>
    </row>
    <row r="63">
      <c r="A63" s="64" t="inlineStr">
        <is>
          <t xml:space="preserve">Revenue as of today </t>
        </is>
      </c>
      <c r="B63" s="64" t="n"/>
      <c r="C63" s="67">
        <f>10000000000</f>
        <v/>
      </c>
      <c r="D63" s="67" t="n"/>
      <c r="E63" s="72" t="n"/>
      <c r="F63" s="20" t="n">
        <v>3</v>
      </c>
      <c r="G63" s="30" t="inlineStr">
        <is>
          <t>Year 3</t>
        </is>
      </c>
      <c r="H63" s="71">
        <f>K62</f>
        <v/>
      </c>
      <c r="I63" s="71">
        <f>I62*(1+0.05)</f>
        <v/>
      </c>
      <c r="J63" s="71">
        <f>I63*(1+$J$56)</f>
        <v/>
      </c>
      <c r="K63" s="71" t="n"/>
      <c r="L63" s="71">
        <f>I63/POWER(1+$J$56,F63-1)</f>
        <v/>
      </c>
    </row>
    <row r="64">
      <c r="A64" s="64" t="inlineStr">
        <is>
          <t>Revenue at year 10</t>
        </is>
      </c>
      <c r="B64" s="64" t="n"/>
      <c r="C64" s="67">
        <f>C63*(1+(0.15-0.05))^10</f>
        <v/>
      </c>
      <c r="D64" s="67">
        <f>C64/30</f>
        <v/>
      </c>
      <c r="F64" s="20" t="n">
        <v>4</v>
      </c>
      <c r="G64" s="30" t="inlineStr">
        <is>
          <t>Year 4</t>
        </is>
      </c>
      <c r="H64" s="71">
        <f>K63</f>
        <v/>
      </c>
      <c r="I64" s="71">
        <f>I63*(1+0.05)</f>
        <v/>
      </c>
      <c r="J64" s="71">
        <f>I64*(1+$J$56)</f>
        <v/>
      </c>
      <c r="K64" s="71" t="n"/>
      <c r="L64" s="71">
        <f>I64/POWER(1+$J$56,F64-1)</f>
        <v/>
      </c>
    </row>
    <row r="65">
      <c r="A65" s="64" t="inlineStr">
        <is>
          <t>Revenue at year 20</t>
        </is>
      </c>
      <c r="B65" s="67" t="n"/>
      <c r="C65" s="67">
        <f>C63*(1+(0.15-0.05))^20</f>
        <v/>
      </c>
      <c r="D65" s="67">
        <f>C65/30</f>
        <v/>
      </c>
      <c r="F65" s="20" t="n">
        <v>5</v>
      </c>
      <c r="G65" s="30" t="inlineStr">
        <is>
          <t>Year 5</t>
        </is>
      </c>
      <c r="H65" s="71">
        <f>K64</f>
        <v/>
      </c>
      <c r="I65" s="71">
        <f>I64*(1+0.05)</f>
        <v/>
      </c>
      <c r="J65" s="71">
        <f>I65*(1+$J$56)</f>
        <v/>
      </c>
      <c r="K65" s="71" t="n"/>
      <c r="L65" s="71">
        <f>I65/POWER(1+$J$56,F65-1)</f>
        <v/>
      </c>
    </row>
    <row r="66">
      <c r="A66" s="64" t="inlineStr">
        <is>
          <t>Revenue at year 40</t>
        </is>
      </c>
      <c r="B66" s="64" t="n"/>
      <c r="C66" s="67">
        <f>C63*(1+(0.15-0.05))^40</f>
        <v/>
      </c>
      <c r="D66" s="67">
        <f>C66/30</f>
        <v/>
      </c>
      <c r="F66" s="20" t="n">
        <v>6</v>
      </c>
      <c r="G66" s="30" t="inlineStr">
        <is>
          <t>Year 6</t>
        </is>
      </c>
      <c r="H66" s="71">
        <f>K65</f>
        <v/>
      </c>
      <c r="I66" s="71">
        <f>I65*(1+0.05)</f>
        <v/>
      </c>
      <c r="J66" s="71">
        <f>I66*(1+$J$56)</f>
        <v/>
      </c>
      <c r="K66" s="71" t="n"/>
      <c r="L66" s="71">
        <f>I66/POWER(1+$J$56,F66-1)</f>
        <v/>
      </c>
    </row>
    <row r="67">
      <c r="A67" s="64" t="n"/>
      <c r="B67" s="64" t="n"/>
      <c r="C67" s="67" t="n"/>
      <c r="D67" s="67" t="n"/>
      <c r="F67" s="20" t="n">
        <v>7</v>
      </c>
      <c r="G67" s="30" t="inlineStr">
        <is>
          <t>Year 7</t>
        </is>
      </c>
      <c r="H67" s="71">
        <f>K66</f>
        <v/>
      </c>
      <c r="I67" s="71">
        <f>I66*(1+0.05)</f>
        <v/>
      </c>
      <c r="J67" s="71">
        <f>I67*(1+$J$56)</f>
        <v/>
      </c>
      <c r="K67" s="71" t="n"/>
      <c r="L67" s="71">
        <f>I67/POWER(1+$J$56,F67-1)</f>
        <v/>
      </c>
    </row>
    <row r="68">
      <c r="A68" s="64" t="inlineStr">
        <is>
          <t>Profit at year 10</t>
        </is>
      </c>
      <c r="B68" s="64" t="n"/>
      <c r="C68" s="67">
        <f>C64*0.15</f>
        <v/>
      </c>
      <c r="D68" s="67">
        <f>C68/30</f>
        <v/>
      </c>
      <c r="F68" s="20" t="n">
        <v>8</v>
      </c>
      <c r="G68" s="30" t="inlineStr">
        <is>
          <t>Year 8</t>
        </is>
      </c>
      <c r="H68" s="71">
        <f>K67</f>
        <v/>
      </c>
      <c r="I68" s="71">
        <f>I67*(1+0.05)</f>
        <v/>
      </c>
      <c r="J68" s="71">
        <f>I68*(1+$J$56)</f>
        <v/>
      </c>
      <c r="K68" s="71" t="n"/>
      <c r="L68" s="71">
        <f>I68/POWER(1+$J$56,F68-1)</f>
        <v/>
      </c>
    </row>
    <row r="69">
      <c r="A69" s="64" t="inlineStr">
        <is>
          <t>Profit at year 20</t>
        </is>
      </c>
      <c r="B69" s="64" t="n"/>
      <c r="C69" s="67">
        <f>C65*0.15</f>
        <v/>
      </c>
      <c r="D69" s="67">
        <f>C69/30</f>
        <v/>
      </c>
      <c r="F69" s="20" t="n">
        <v>9</v>
      </c>
      <c r="G69" s="30" t="inlineStr">
        <is>
          <t>Year 9</t>
        </is>
      </c>
      <c r="H69" s="71">
        <f>K68</f>
        <v/>
      </c>
      <c r="I69" s="71">
        <f>I68*(1+0.05)</f>
        <v/>
      </c>
      <c r="J69" s="71">
        <f>I69*(1+$J$56)</f>
        <v/>
      </c>
      <c r="K69" s="71" t="n"/>
      <c r="L69" s="71">
        <f>I69/POWER(1+$J$56,F69-1)</f>
        <v/>
      </c>
    </row>
    <row r="70">
      <c r="A70" s="64" t="inlineStr">
        <is>
          <t>Profit at year 40</t>
        </is>
      </c>
      <c r="B70" s="64" t="n"/>
      <c r="C70" s="67">
        <f>C66*0.15</f>
        <v/>
      </c>
      <c r="D70" s="67">
        <f>C70/30</f>
        <v/>
      </c>
      <c r="F70" s="20" t="n">
        <v>10</v>
      </c>
      <c r="G70" s="30" t="inlineStr">
        <is>
          <t>Year 10</t>
        </is>
      </c>
      <c r="H70" s="71">
        <f>K69</f>
        <v/>
      </c>
      <c r="I70" s="71">
        <f>I69*(1+0.05)</f>
        <v/>
      </c>
      <c r="J70" s="71">
        <f>I70*(1+$J$56)</f>
        <v/>
      </c>
      <c r="K70" s="71" t="n"/>
      <c r="L70" s="71">
        <f>I70/POWER(1+$J$56,F70-1)</f>
        <v/>
      </c>
    </row>
    <row r="71">
      <c r="F71" s="20" t="n">
        <v>11</v>
      </c>
      <c r="G71" s="30" t="inlineStr">
        <is>
          <t>Year 11</t>
        </is>
      </c>
      <c r="H71" s="71">
        <f>K70</f>
        <v/>
      </c>
      <c r="I71" s="71">
        <f>I70*(1+0.05)</f>
        <v/>
      </c>
      <c r="J71" s="71">
        <f>I71*(1+$J$56)</f>
        <v/>
      </c>
      <c r="K71" s="71" t="n"/>
      <c r="L71" s="71">
        <f>I71/POWER(1+$J$56,F71-1)</f>
        <v/>
      </c>
    </row>
    <row r="72">
      <c r="A72" s="64" t="n"/>
      <c r="C72" s="72" t="n"/>
      <c r="D72" s="72" t="n"/>
      <c r="F72" s="20" t="n">
        <v>12</v>
      </c>
      <c r="G72" s="30" t="inlineStr">
        <is>
          <t>Year 12</t>
        </is>
      </c>
      <c r="H72" s="71">
        <f>K71</f>
        <v/>
      </c>
      <c r="I72" s="71">
        <f>I71*(1+0.05)</f>
        <v/>
      </c>
      <c r="J72" s="71">
        <f>I72*(1+$J$56)</f>
        <v/>
      </c>
      <c r="K72" s="71" t="n"/>
      <c r="L72" s="71">
        <f>I72/POWER(1+$J$56,F72-1)</f>
        <v/>
      </c>
    </row>
    <row r="73">
      <c r="A73" s="64" t="n"/>
      <c r="C73" s="72" t="n"/>
      <c r="D73" s="72" t="n"/>
      <c r="F73" s="20" t="n">
        <v>13</v>
      </c>
      <c r="G73" s="30" t="inlineStr">
        <is>
          <t>Year 13</t>
        </is>
      </c>
      <c r="H73" s="71">
        <f>K72</f>
        <v/>
      </c>
      <c r="I73" s="71">
        <f>I72*(1+0.05)</f>
        <v/>
      </c>
      <c r="J73" s="71">
        <f>I73*(1+$J$56)</f>
        <v/>
      </c>
      <c r="K73" s="71" t="n"/>
      <c r="L73" s="71">
        <f>I73/POWER(1+$J$56,F73-1)</f>
        <v/>
      </c>
    </row>
    <row r="74">
      <c r="A74" s="64" t="n"/>
      <c r="C74" s="72" t="n"/>
      <c r="D74" s="72" t="n"/>
      <c r="F74" s="20" t="n">
        <v>14</v>
      </c>
      <c r="G74" s="30" t="inlineStr">
        <is>
          <t>Year 14</t>
        </is>
      </c>
      <c r="H74" s="71">
        <f>K73</f>
        <v/>
      </c>
      <c r="I74" s="71">
        <f>I73*(1+0.05)</f>
        <v/>
      </c>
      <c r="J74" s="71">
        <f>I74*(1+$J$56)</f>
        <v/>
      </c>
      <c r="K74" s="71" t="n"/>
      <c r="L74" s="71">
        <f>I74/POWER(1+$J$56,F74-1)</f>
        <v/>
      </c>
    </row>
    <row r="75">
      <c r="F75" s="20" t="n">
        <v>15</v>
      </c>
      <c r="G75" s="30" t="inlineStr">
        <is>
          <t>Year 15</t>
        </is>
      </c>
      <c r="H75" s="71">
        <f>K74</f>
        <v/>
      </c>
      <c r="I75" s="71">
        <f>I74*(1+0.05)</f>
        <v/>
      </c>
      <c r="J75" s="71">
        <f>I75*(1+$J$56)</f>
        <v/>
      </c>
      <c r="K75" s="71" t="n"/>
      <c r="L75" s="71">
        <f>I75/POWER(1+$J$56,F75-1)</f>
        <v/>
      </c>
    </row>
    <row r="76">
      <c r="F76" s="20" t="n">
        <v>16</v>
      </c>
      <c r="G76" s="30" t="inlineStr">
        <is>
          <t>Year 16</t>
        </is>
      </c>
      <c r="H76" s="71">
        <f>K75</f>
        <v/>
      </c>
      <c r="I76" s="71">
        <f>I75*(1+0.05)</f>
        <v/>
      </c>
      <c r="J76" s="71">
        <f>I76*(1+$J$56)</f>
        <v/>
      </c>
      <c r="K76" s="71" t="n"/>
      <c r="L76" s="71">
        <f>I76/POWER(1+$J$56,F76-1)</f>
        <v/>
      </c>
    </row>
    <row r="77">
      <c r="F77" s="20" t="n">
        <v>17</v>
      </c>
      <c r="G77" s="30" t="inlineStr">
        <is>
          <t>Year 17</t>
        </is>
      </c>
      <c r="H77" s="71">
        <f>K76</f>
        <v/>
      </c>
      <c r="I77" s="71">
        <f>I76*(1+0.05)</f>
        <v/>
      </c>
      <c r="J77" s="71">
        <f>I77*(1+$J$56)</f>
        <v/>
      </c>
      <c r="K77" s="71" t="n"/>
      <c r="L77" s="71">
        <f>I77/POWER(1+$J$56,F77-1)</f>
        <v/>
      </c>
    </row>
    <row r="78">
      <c r="F78" s="20" t="n">
        <v>18</v>
      </c>
      <c r="G78" s="30" t="inlineStr">
        <is>
          <t>Year 18</t>
        </is>
      </c>
      <c r="H78" s="71">
        <f>K77</f>
        <v/>
      </c>
      <c r="I78" s="71">
        <f>I77*(1+0.05)</f>
        <v/>
      </c>
      <c r="J78" s="71">
        <f>I78*(1+$J$56)</f>
        <v/>
      </c>
      <c r="K78" s="71" t="n"/>
      <c r="L78" s="71">
        <f>I78/POWER(1+$J$56,F78-1)</f>
        <v/>
      </c>
    </row>
    <row r="79">
      <c r="F79" s="20" t="n">
        <v>19</v>
      </c>
      <c r="G79" s="30" t="inlineStr">
        <is>
          <t>Year 19</t>
        </is>
      </c>
      <c r="H79" s="71">
        <f>K78</f>
        <v/>
      </c>
      <c r="I79" s="71">
        <f>I78*(1+0.05)</f>
        <v/>
      </c>
      <c r="J79" s="71">
        <f>I79*(1+$J$56)</f>
        <v/>
      </c>
      <c r="K79" s="71" t="n"/>
      <c r="L79" s="71">
        <f>I79/POWER(1+$J$56,F79-1)</f>
        <v/>
      </c>
    </row>
    <row r="80">
      <c r="F80" s="20" t="n">
        <v>20</v>
      </c>
      <c r="G80" s="30" t="inlineStr">
        <is>
          <t>Year 20</t>
        </is>
      </c>
      <c r="H80" s="71">
        <f>K79</f>
        <v/>
      </c>
      <c r="I80" s="71">
        <f>I79*(1+0.05)</f>
        <v/>
      </c>
      <c r="J80" s="71">
        <f>I80*(1+$J$56)</f>
        <v/>
      </c>
      <c r="K80" s="71" t="n"/>
      <c r="L80" s="71">
        <f>I80/POWER(1+$J$56,F80-1)</f>
        <v/>
      </c>
    </row>
    <row r="81">
      <c r="F81" s="20" t="n">
        <v>21</v>
      </c>
      <c r="G81" s="30" t="inlineStr">
        <is>
          <t>Year 21</t>
        </is>
      </c>
      <c r="H81" s="71">
        <f>K80</f>
        <v/>
      </c>
      <c r="I81" s="71">
        <f>I80*(1+0.05)</f>
        <v/>
      </c>
      <c r="J81" s="71">
        <f>I81*(1+$J$56)</f>
        <v/>
      </c>
      <c r="K81" s="71" t="n"/>
      <c r="L81" s="71">
        <f>I81/POWER(1+$J$56,F81-1)</f>
        <v/>
      </c>
    </row>
    <row r="82">
      <c r="F82" s="20" t="n">
        <v>22</v>
      </c>
      <c r="G82" s="30" t="inlineStr">
        <is>
          <t>Year 22</t>
        </is>
      </c>
      <c r="H82" s="71">
        <f>K81</f>
        <v/>
      </c>
      <c r="I82" s="71">
        <f>I81*(1+0.05)</f>
        <v/>
      </c>
      <c r="J82" s="71">
        <f>I82*(1+$J$56)</f>
        <v/>
      </c>
      <c r="K82" s="71" t="n"/>
      <c r="L82" s="71">
        <f>I82/POWER(1+$J$56,F82-1)</f>
        <v/>
      </c>
    </row>
    <row r="83">
      <c r="F83" s="20" t="n">
        <v>23</v>
      </c>
      <c r="G83" s="30" t="inlineStr">
        <is>
          <t>Year 23</t>
        </is>
      </c>
      <c r="H83" s="71">
        <f>K82</f>
        <v/>
      </c>
      <c r="I83" s="71">
        <f>I82*(1+0.05)</f>
        <v/>
      </c>
      <c r="J83" s="71">
        <f>I83*(1+$J$56)</f>
        <v/>
      </c>
      <c r="K83" s="71" t="n"/>
      <c r="L83" s="71">
        <f>I83/POWER(1+$J$56,F83-1)</f>
        <v/>
      </c>
    </row>
    <row r="84">
      <c r="F84" s="20" t="n">
        <v>24</v>
      </c>
      <c r="G84" s="30" t="inlineStr">
        <is>
          <t>Year 24</t>
        </is>
      </c>
      <c r="H84" s="71">
        <f>K83</f>
        <v/>
      </c>
      <c r="I84" s="71">
        <f>I83*(1+0.05)</f>
        <v/>
      </c>
      <c r="J84" s="71">
        <f>I84*(1+$J$56)</f>
        <v/>
      </c>
      <c r="K84" s="71" t="n"/>
      <c r="L84" s="71">
        <f>I84/POWER(1+$J$56,F84-1)</f>
        <v/>
      </c>
    </row>
    <row r="85">
      <c r="F85" s="20" t="n">
        <v>25</v>
      </c>
      <c r="G85" s="30" t="inlineStr">
        <is>
          <t>Year 25</t>
        </is>
      </c>
      <c r="H85" s="71">
        <f>K84</f>
        <v/>
      </c>
      <c r="I85" s="71">
        <f>I84*(1+0.05)</f>
        <v/>
      </c>
      <c r="J85" s="71">
        <f>I85*(1+$J$56)</f>
        <v/>
      </c>
      <c r="K85" s="71" t="n"/>
      <c r="L85" s="71">
        <f>I85/POWER(1+$J$56,F85-1)</f>
        <v/>
      </c>
    </row>
    <row r="86">
      <c r="F86" s="20" t="n">
        <v>26</v>
      </c>
      <c r="G86" s="30" t="inlineStr">
        <is>
          <t>Year 26</t>
        </is>
      </c>
      <c r="H86" s="71">
        <f>K85</f>
        <v/>
      </c>
      <c r="I86" s="71">
        <f>I85*(1+0.05)</f>
        <v/>
      </c>
      <c r="J86" s="71">
        <f>I86*(1+$J$56)</f>
        <v/>
      </c>
      <c r="K86" s="71" t="n"/>
      <c r="L86" s="71">
        <f>I86/POWER(1+$J$56,F86-1)</f>
        <v/>
      </c>
    </row>
    <row r="87">
      <c r="F87" s="20" t="n">
        <v>27</v>
      </c>
      <c r="G87" s="30" t="inlineStr">
        <is>
          <t>Year 27</t>
        </is>
      </c>
      <c r="H87" s="71">
        <f>K86</f>
        <v/>
      </c>
      <c r="I87" s="71">
        <f>I86*(1+0.05)</f>
        <v/>
      </c>
      <c r="J87" s="71">
        <f>I87*(1+$J$56)</f>
        <v/>
      </c>
      <c r="K87" s="71" t="n"/>
      <c r="L87" s="71">
        <f>I87/POWER(1+$J$56,F87-1)</f>
        <v/>
      </c>
    </row>
    <row r="88">
      <c r="F88" s="20" t="n">
        <v>28</v>
      </c>
      <c r="G88" s="30" t="inlineStr">
        <is>
          <t>Year 28</t>
        </is>
      </c>
      <c r="H88" s="71">
        <f>K87</f>
        <v/>
      </c>
      <c r="I88" s="71">
        <f>I87*(1+0.05)</f>
        <v/>
      </c>
      <c r="J88" s="71">
        <f>I88*(1+$J$56)</f>
        <v/>
      </c>
      <c r="K88" s="71" t="n"/>
      <c r="L88" s="71">
        <f>I88/POWER(1+$J$56,F88-1)</f>
        <v/>
      </c>
    </row>
    <row r="89">
      <c r="F89" s="20" t="n">
        <v>29</v>
      </c>
      <c r="G89" s="30" t="inlineStr">
        <is>
          <t>Year 29</t>
        </is>
      </c>
      <c r="H89" s="71">
        <f>K88</f>
        <v/>
      </c>
      <c r="I89" s="71">
        <f>I88*(1+0.05)</f>
        <v/>
      </c>
      <c r="J89" s="71">
        <f>I89*(1+$J$56)</f>
        <v/>
      </c>
      <c r="K89" s="71" t="n"/>
      <c r="L89" s="71">
        <f>I89/POWER(1+$J$56,F89-1)</f>
        <v/>
      </c>
    </row>
    <row r="90">
      <c r="F90" s="20" t="n">
        <v>30</v>
      </c>
      <c r="G90" s="30" t="inlineStr">
        <is>
          <t>Year 30</t>
        </is>
      </c>
      <c r="H90" s="71">
        <f>K89</f>
        <v/>
      </c>
      <c r="I90" s="71">
        <f>I89*(1+0.05)</f>
        <v/>
      </c>
      <c r="J90" s="71">
        <f>I90*(1+$J$56)</f>
        <v/>
      </c>
      <c r="K90" s="71" t="n"/>
      <c r="L90" s="71">
        <f>I90/POWER(1+$J$56,F90-1)</f>
        <v/>
      </c>
    </row>
    <row r="91">
      <c r="F91" s="20" t="n">
        <v>31</v>
      </c>
      <c r="G91" s="30" t="inlineStr">
        <is>
          <t>Year 31</t>
        </is>
      </c>
      <c r="H91" s="71">
        <f>K90</f>
        <v/>
      </c>
      <c r="I91" s="71">
        <f>I90*(1+0.05)</f>
        <v/>
      </c>
      <c r="J91" s="71">
        <f>I91*(1+$J$56)</f>
        <v/>
      </c>
      <c r="K91" s="71" t="n"/>
      <c r="L91" s="71">
        <f>I91/POWER(1+$J$56,F91-1)</f>
        <v/>
      </c>
    </row>
    <row r="92">
      <c r="F92" s="20" t="n">
        <v>32</v>
      </c>
      <c r="G92" s="30" t="inlineStr">
        <is>
          <t>Year 32</t>
        </is>
      </c>
      <c r="H92" s="71">
        <f>K91</f>
        <v/>
      </c>
      <c r="I92" s="71">
        <f>I91*(1+0.05)</f>
        <v/>
      </c>
      <c r="J92" s="71">
        <f>I92*(1+$J$56)</f>
        <v/>
      </c>
      <c r="K92" s="71" t="n"/>
      <c r="L92" s="71">
        <f>I92/POWER(1+$J$56,F92-1)</f>
        <v/>
      </c>
    </row>
    <row r="93">
      <c r="F93" s="20" t="n">
        <v>33</v>
      </c>
      <c r="G93" s="30" t="inlineStr">
        <is>
          <t>Year 33</t>
        </is>
      </c>
      <c r="H93" s="71">
        <f>K92</f>
        <v/>
      </c>
      <c r="I93" s="71">
        <f>I92*(1+0.05)</f>
        <v/>
      </c>
      <c r="J93" s="71">
        <f>I93*(1+$J$56)</f>
        <v/>
      </c>
      <c r="K93" s="71" t="n"/>
      <c r="L93" s="71">
        <f>I93/POWER(1+$J$56,F93-1)</f>
        <v/>
      </c>
    </row>
    <row r="94">
      <c r="F94" s="20" t="n">
        <v>34</v>
      </c>
      <c r="G94" s="30" t="inlineStr">
        <is>
          <t>Year 34</t>
        </is>
      </c>
      <c r="H94" s="71">
        <f>K93</f>
        <v/>
      </c>
      <c r="I94" s="71">
        <f>I93*(1+0.05)</f>
        <v/>
      </c>
      <c r="J94" s="71">
        <f>I94*(1+$J$56)</f>
        <v/>
      </c>
      <c r="K94" s="71" t="n"/>
      <c r="L94" s="71">
        <f>I94/POWER(1+$J$56,F94-1)</f>
        <v/>
      </c>
    </row>
    <row r="95">
      <c r="F95" s="20" t="n">
        <v>35</v>
      </c>
      <c r="G95" s="30" t="inlineStr">
        <is>
          <t>Year 35</t>
        </is>
      </c>
      <c r="H95" s="71">
        <f>K94</f>
        <v/>
      </c>
      <c r="I95" s="71">
        <f>I94*(1+0.05)</f>
        <v/>
      </c>
      <c r="J95" s="71">
        <f>I95*(1+$J$56)</f>
        <v/>
      </c>
      <c r="K95" s="71" t="n"/>
      <c r="L95" s="71">
        <f>I95/POWER(1+$J$56,F95-1)</f>
        <v/>
      </c>
    </row>
    <row r="96">
      <c r="F96" s="20" t="n">
        <v>36</v>
      </c>
      <c r="G96" s="30" t="inlineStr">
        <is>
          <t>Year 36</t>
        </is>
      </c>
      <c r="H96" s="71">
        <f>K95</f>
        <v/>
      </c>
      <c r="I96" s="71">
        <f>I95*(1+0.05)</f>
        <v/>
      </c>
      <c r="J96" s="71">
        <f>I96*(1+$J$56)</f>
        <v/>
      </c>
      <c r="K96" s="71" t="n"/>
      <c r="L96" s="71">
        <f>I96/POWER(1+$J$56,F96-1)</f>
        <v/>
      </c>
    </row>
    <row r="97">
      <c r="F97" s="20" t="n">
        <v>37</v>
      </c>
      <c r="G97" s="30" t="inlineStr">
        <is>
          <t>Year 37</t>
        </is>
      </c>
      <c r="H97" s="71">
        <f>K96</f>
        <v/>
      </c>
      <c r="I97" s="71">
        <f>I96*(1+0.05)</f>
        <v/>
      </c>
      <c r="J97" s="71">
        <f>I97*(1+$J$56)</f>
        <v/>
      </c>
      <c r="K97" s="71" t="n"/>
      <c r="L97" s="71">
        <f>I97/POWER(1+$J$56,F97-1)</f>
        <v/>
      </c>
    </row>
    <row r="98">
      <c r="F98" s="20" t="n">
        <v>38</v>
      </c>
      <c r="G98" s="30" t="inlineStr">
        <is>
          <t>Year 38</t>
        </is>
      </c>
      <c r="H98" s="71">
        <f>K97</f>
        <v/>
      </c>
      <c r="I98" s="71">
        <f>I97*(1+0.05)</f>
        <v/>
      </c>
      <c r="J98" s="71">
        <f>I98*(1+$J$56)</f>
        <v/>
      </c>
      <c r="K98" s="71" t="n"/>
      <c r="L98" s="71">
        <f>I98/POWER(1+$J$56,F98-1)</f>
        <v/>
      </c>
    </row>
    <row r="99">
      <c r="F99" s="20" t="n">
        <v>39</v>
      </c>
      <c r="G99" s="30" t="inlineStr">
        <is>
          <t>Year 39</t>
        </is>
      </c>
      <c r="H99" s="71">
        <f>K98</f>
        <v/>
      </c>
      <c r="I99" s="71">
        <f>I98*(1+0.05)</f>
        <v/>
      </c>
      <c r="J99" s="71">
        <f>I99*(1+$J$56)</f>
        <v/>
      </c>
      <c r="K99" s="71" t="n"/>
      <c r="L99" s="71">
        <f>I99/POWER(1+$J$56,F99-1)</f>
        <v/>
      </c>
    </row>
    <row r="100">
      <c r="F100" s="20" t="n">
        <v>40</v>
      </c>
      <c r="G100" s="30" t="inlineStr">
        <is>
          <t>Year 40</t>
        </is>
      </c>
      <c r="H100" s="71">
        <f>K99</f>
        <v/>
      </c>
      <c r="I100" s="71">
        <f>I99*(1+0.05)</f>
        <v/>
      </c>
      <c r="J100" s="71">
        <f>I100*(1+$J$56)</f>
        <v/>
      </c>
      <c r="K100" s="71" t="n"/>
      <c r="L100" s="71">
        <f>I100/POWER(1+$J$56,F100-1)</f>
        <v/>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M123"/>
  <sheetViews>
    <sheetView topLeftCell="A4" zoomScale="85" zoomScaleNormal="85" workbookViewId="0">
      <selection activeCell="A1" sqref="A1"/>
    </sheetView>
  </sheetViews>
  <sheetFormatPr baseColWidth="8" defaultColWidth="11" defaultRowHeight="15.75"/>
  <cols>
    <col width="31.5" customWidth="1" style="57" min="2" max="2"/>
    <col width="20.375" customWidth="1" style="57" min="6" max="6"/>
    <col width="21.625" customWidth="1" style="57" min="7" max="7"/>
    <col hidden="1" width="20.125" customWidth="1" style="57" min="9" max="9"/>
    <col width="11" customWidth="1" style="57" min="13" max="13"/>
  </cols>
  <sheetData>
    <row r="1">
      <c r="B1" s="15" t="inlineStr">
        <is>
          <t>Assumption ('Thousand USD")</t>
        </is>
      </c>
      <c r="C1" s="3" t="n"/>
      <c r="D1" s="11" t="n"/>
      <c r="E1" s="11" t="n"/>
      <c r="F1" s="11" t="n"/>
      <c r="G1" s="3" t="n"/>
      <c r="I1" s="12" t="inlineStr">
        <is>
          <t xml:space="preserve">On revenue side,  assume that endowment successfully run at 10% return.  You don’t plan to raise any fund, so no public donation is expected. You don’t expect any government support (other than standard tax incentives) either, so in short, your endowment fund revenue will only come from a) investment income  b) capital gain on investments (let say EBITDA multiple 2X), and c) contribution that will automatically distributed from the trust each year. </t>
        </is>
      </c>
    </row>
    <row r="2" ht="17.25" customHeight="1" s="57">
      <c r="B2" t="inlineStr">
        <is>
          <t>Starting Endowment in $m</t>
        </is>
      </c>
      <c r="C2" s="61" t="n">
        <v>3000</v>
      </c>
      <c r="D2" s="62" t="n"/>
      <c r="E2" s="62" t="n"/>
      <c r="F2" s="62" t="n"/>
      <c r="G2" s="61" t="n"/>
      <c r="I2" s="12" t="inlineStr">
        <is>
          <t xml:space="preserve">Majority of trust expense is grant payable which is 5% of endowment trust size, which is required by NPO law. Additionally you will have to budget CEO’s compensation 250k (can be one of beneficiaries), 10 of C-level directors 150k each and asset management fee 2% of endowment size, incentives of 20% of fund IRR annually. </t>
        </is>
      </c>
      <c r="J2" s="63" t="inlineStr">
        <is>
          <t>Assumption</t>
        </is>
      </c>
      <c r="K2" s="64" t="n"/>
      <c r="L2" s="64" t="n"/>
      <c r="M2" s="64" t="n"/>
    </row>
    <row r="3">
      <c r="B3" t="inlineStr">
        <is>
          <t>Endowment Revenue</t>
        </is>
      </c>
      <c r="C3" s="3">
        <f>C4</f>
        <v/>
      </c>
      <c r="D3" s="3" t="n"/>
      <c r="E3" s="3" t="n"/>
      <c r="F3" s="3" t="n"/>
      <c r="G3" s="3" t="n"/>
      <c r="I3" s="12" t="inlineStr">
        <is>
          <t>You were told that your good friend, Comparable Peer Foundation, has a net worth of 31B, which is about twice the size of your wealth. Size of Comparable Peer Foundation Foundation endowment is 8 B. You are not sure about their annual giving amount. You only know that they have been focusing on medical education and have successfully built couple of leadership centers since 1980 with co-operation from many leading universities in the U.S</t>
        </is>
      </c>
      <c r="J3" s="64" t="inlineStr">
        <is>
          <t>Revenue as of today 10000 MB</t>
        </is>
      </c>
      <c r="K3" s="64" t="n"/>
      <c r="L3" s="64" t="n"/>
      <c r="M3" s="64" t="n"/>
    </row>
    <row r="4">
      <c r="B4" s="2" t="inlineStr">
        <is>
          <t>Investment Income</t>
        </is>
      </c>
      <c r="C4" s="3" t="n">
        <v>0.1</v>
      </c>
      <c r="D4" s="62" t="inlineStr">
        <is>
          <t>p.a</t>
        </is>
      </c>
      <c r="E4" s="3" t="n"/>
      <c r="F4" s="3" t="n"/>
      <c r="G4" s="3" t="n"/>
      <c r="I4" s="13" t="inlineStr">
        <is>
          <t>Q1.  What should be your asset allocation strategy between trust and beneficiaries if you set up foundation today?  Please give estimate of a) benefit $ to beneficiaries b) annual giving amount</t>
        </is>
      </c>
      <c r="J4" s="64" t="inlineStr">
        <is>
          <t>Return 15% p.a</t>
        </is>
      </c>
      <c r="K4" s="64" t="n"/>
      <c r="L4" s="64" t="n"/>
      <c r="M4" s="64" t="n"/>
    </row>
    <row r="5">
      <c r="B5" t="inlineStr">
        <is>
          <t xml:space="preserve">   Principal Contribution</t>
        </is>
      </c>
      <c r="C5" s="61" t="n">
        <v>3000</v>
      </c>
      <c r="D5" s="62" t="inlineStr">
        <is>
          <t>p.a</t>
        </is>
      </c>
      <c r="I5" s="13" t="inlineStr">
        <is>
          <t xml:space="preserve">Scenario 3: Loan 1B each to 5 beneficiaries with 5% interest, the interest will go to the trust </t>
        </is>
      </c>
      <c r="J5" s="64" t="inlineStr">
        <is>
          <t>growth 4%  (inflation)</t>
        </is>
      </c>
      <c r="K5" s="64" t="n"/>
      <c r="L5" s="64" t="n"/>
      <c r="M5" s="64" t="n"/>
    </row>
    <row r="6">
      <c r="B6" t="inlineStr">
        <is>
          <t xml:space="preserve">   Family Foundation 2% of profit</t>
        </is>
      </c>
      <c r="C6" s="65" t="n">
        <v>500</v>
      </c>
      <c r="I6" s="13" t="n"/>
      <c r="J6" s="64" t="n"/>
      <c r="K6" s="64" t="n"/>
      <c r="L6" s="64" t="n"/>
      <c r="M6" s="64" t="n"/>
    </row>
    <row r="7">
      <c r="I7" s="13" t="n"/>
      <c r="J7" s="64" t="n"/>
      <c r="K7" s="64" t="n"/>
      <c r="L7" s="64" t="n"/>
      <c r="M7" s="64" t="n"/>
    </row>
    <row r="8">
      <c r="B8" s="1" t="inlineStr">
        <is>
          <t>Expenses</t>
        </is>
      </c>
      <c r="I8" s="13" t="inlineStr">
        <is>
          <t>Scenario 4: Because you want to beat Comparable Peer Foundation and become top#1 in Asia, so you decided to endow 10B, the remainder goes to Children.</t>
        </is>
      </c>
      <c r="J8" s="64" t="n"/>
      <c r="K8" s="64" t="n"/>
      <c r="L8" s="64" t="inlineStr">
        <is>
          <t>Revenue after inflation adjusted</t>
        </is>
      </c>
      <c r="M8" s="64" t="n"/>
    </row>
    <row r="9">
      <c r="I9" s="13" t="inlineStr">
        <is>
          <t xml:space="preserve">Scenario 5: What would be the effect to above 4 scenarios, if IRR of endowment fund is no longer 10%, but now 0% like what happened to most endowment trusts in year 2011. </t>
        </is>
      </c>
      <c r="J9" s="64" t="n"/>
      <c r="K9" s="64" t="n"/>
      <c r="L9" s="64" t="inlineStr">
        <is>
          <t>THB</t>
        </is>
      </c>
      <c r="M9" s="64" t="inlineStr">
        <is>
          <t>USD</t>
        </is>
      </c>
    </row>
    <row r="10">
      <c r="B10" s="2" t="inlineStr">
        <is>
          <t>Grant Payable</t>
        </is>
      </c>
      <c r="C10" s="3" t="n">
        <v>0.05</v>
      </c>
      <c r="D10" s="3" t="n"/>
      <c r="E10" s="3" t="n"/>
      <c r="F10" s="3" t="n"/>
      <c r="G10" s="3" t="n"/>
      <c r="J10" s="64" t="inlineStr">
        <is>
          <t xml:space="preserve">Revenue as of today </t>
        </is>
      </c>
      <c r="K10" s="64" t="n"/>
      <c r="L10" s="67">
        <f>10000</f>
        <v/>
      </c>
      <c r="M10" s="67" t="n"/>
    </row>
    <row r="11">
      <c r="B11" s="2" t="inlineStr">
        <is>
          <t>Compensation CEO</t>
        </is>
      </c>
      <c r="C11" s="6" t="n">
        <v>0.25</v>
      </c>
      <c r="D11" s="6" t="n"/>
      <c r="E11" s="6" t="n"/>
      <c r="F11" s="6" t="n"/>
      <c r="G11" s="6" t="n"/>
      <c r="J11" s="64" t="inlineStr">
        <is>
          <t>Revenue at year 10</t>
        </is>
      </c>
      <c r="K11" s="64" t="n"/>
      <c r="L11" s="67">
        <f>L10*(1+(0.15-0.04))^10</f>
        <v/>
      </c>
      <c r="M11" s="67">
        <f>L11/30</f>
        <v/>
      </c>
    </row>
    <row r="12">
      <c r="B12" s="2" t="inlineStr">
        <is>
          <t>10 directors (per director)</t>
        </is>
      </c>
      <c r="C12" s="6" t="n">
        <v>0.15</v>
      </c>
      <c r="D12" s="6" t="n"/>
      <c r="E12" s="6" t="n"/>
      <c r="F12" s="6" t="n"/>
      <c r="G12" s="6" t="n"/>
      <c r="J12" s="64" t="inlineStr">
        <is>
          <t>Revenue at year 20</t>
        </is>
      </c>
      <c r="K12" s="67" t="n"/>
      <c r="L12" s="67">
        <f>L10*(1+(0.15-0.04))^20</f>
        <v/>
      </c>
      <c r="M12" s="67">
        <f>L12/30</f>
        <v/>
      </c>
    </row>
    <row r="13">
      <c r="B13" s="2" t="inlineStr">
        <is>
          <t>20 employees (per employee)</t>
        </is>
      </c>
      <c r="C13" s="6" t="n">
        <v>0.04</v>
      </c>
      <c r="D13" s="6" t="n"/>
      <c r="E13" s="6" t="n"/>
      <c r="F13" s="6" t="n"/>
      <c r="G13" s="6" t="n"/>
      <c r="J13" s="64" t="inlineStr">
        <is>
          <t>Revenue at year 40</t>
        </is>
      </c>
      <c r="K13" s="64" t="n"/>
      <c r="L13" s="67">
        <f>L10*(1+(0.15-0.04))^40</f>
        <v/>
      </c>
      <c r="M13" s="67">
        <f>L13/30</f>
        <v/>
      </c>
    </row>
    <row r="14">
      <c r="B14" s="2" t="inlineStr">
        <is>
          <t xml:space="preserve">Asset management Fee </t>
        </is>
      </c>
      <c r="C14" s="3" t="n">
        <v>0.02</v>
      </c>
      <c r="D14" s="3" t="n"/>
      <c r="E14" s="3" t="n"/>
      <c r="F14" s="3" t="n"/>
      <c r="G14" s="3" t="n"/>
      <c r="I14" s="68">
        <f>10000000000</f>
        <v/>
      </c>
      <c r="J14" s="64" t="n"/>
      <c r="K14" s="64" t="n"/>
      <c r="L14" s="67" t="n"/>
      <c r="M14" s="67" t="n"/>
    </row>
    <row r="15">
      <c r="B15" s="2" t="n"/>
      <c r="I15" s="65">
        <f>I14*15%</f>
        <v/>
      </c>
      <c r="J15" s="64" t="inlineStr">
        <is>
          <t>Profit at year 10</t>
        </is>
      </c>
      <c r="K15" s="64" t="n"/>
      <c r="L15" s="67">
        <f>L11*0.15</f>
        <v/>
      </c>
      <c r="M15" s="67">
        <f>L15/30</f>
        <v/>
      </c>
    </row>
    <row r="16">
      <c r="I16" s="65">
        <f>I15*2%</f>
        <v/>
      </c>
      <c r="J16" s="64" t="inlineStr">
        <is>
          <t>Profit at year 20</t>
        </is>
      </c>
      <c r="K16" s="64" t="n"/>
      <c r="L16" s="67">
        <f>L12*0.15</f>
        <v/>
      </c>
      <c r="M16" s="67">
        <f>L16/30</f>
        <v/>
      </c>
    </row>
    <row r="17">
      <c r="C17" s="3" t="n"/>
      <c r="D17" s="3" t="n"/>
      <c r="E17" s="3" t="n"/>
      <c r="F17" s="3" t="n"/>
      <c r="G17" s="3" t="n"/>
      <c r="J17" s="64" t="inlineStr">
        <is>
          <t>Profit at year 40</t>
        </is>
      </c>
      <c r="K17" s="64" t="n"/>
      <c r="L17" s="67">
        <f>L13*0.15</f>
        <v/>
      </c>
      <c r="M17" s="67">
        <f>L17/30</f>
        <v/>
      </c>
    </row>
    <row r="18">
      <c r="B18" t="inlineStr">
        <is>
          <t>Foundation Tax</t>
        </is>
      </c>
      <c r="C18" s="3" t="n">
        <v>0</v>
      </c>
      <c r="D18" s="3" t="n"/>
      <c r="E18" s="3" t="n"/>
      <c r="F18" s="3" t="n"/>
      <c r="G18" s="3" t="n"/>
    </row>
    <row r="19">
      <c r="B19" t="inlineStr">
        <is>
          <t>Inflation</t>
        </is>
      </c>
      <c r="C19" s="3" t="n">
        <v>0.03</v>
      </c>
      <c r="D19" s="3" t="n"/>
      <c r="E19" s="3" t="n"/>
      <c r="F19" s="3" t="n"/>
      <c r="G19" s="3" t="n"/>
    </row>
    <row r="20">
      <c r="C20" s="3" t="n"/>
    </row>
    <row r="21"/>
    <row r="22" ht="31.5" customHeight="1" s="57">
      <c r="B22" s="10" t="inlineStr">
        <is>
          <t>Foundation</t>
        </is>
      </c>
      <c r="C22" t="inlineStr">
        <is>
          <t>Income</t>
        </is>
      </c>
      <c r="D22" t="inlineStr">
        <is>
          <t>Expense</t>
        </is>
      </c>
      <c r="E22" t="inlineStr">
        <is>
          <t>Assets</t>
        </is>
      </c>
      <c r="F22" s="9" t="inlineStr">
        <is>
          <t>Real Value of Assets at today's money value</t>
        </is>
      </c>
      <c r="G22" s="9" t="inlineStr">
        <is>
          <t>Annual giving amount in today's money value</t>
        </is>
      </c>
    </row>
    <row r="23">
      <c r="A23" t="n">
        <v>0</v>
      </c>
      <c r="B23" t="inlineStr">
        <is>
          <t>Year 0</t>
        </is>
      </c>
      <c r="C23" s="68" t="n"/>
      <c r="D23" s="68" t="n"/>
      <c r="E23" s="68">
        <f>C2</f>
        <v/>
      </c>
      <c r="F23" s="65">
        <f>E23</f>
        <v/>
      </c>
    </row>
    <row r="24">
      <c r="A24" t="n">
        <v>1</v>
      </c>
      <c r="B24" t="inlineStr">
        <is>
          <t>Year 1</t>
        </is>
      </c>
      <c r="C24" s="68">
        <f>E23*($C$3)+$C$5+$C$6</f>
        <v/>
      </c>
      <c r="D24" s="70">
        <f>E23*$C$10 +$C$11+10*$C$12+$C$13*20+$C$14*E23</f>
        <v/>
      </c>
      <c r="E24" s="68">
        <f>E23+C24-D24+$C$2</f>
        <v/>
      </c>
      <c r="F24" s="70">
        <f>E24/POWER(1+$C$19,A24)</f>
        <v/>
      </c>
      <c r="G24" s="68">
        <f>(E23*$C$10)/POWER(1+$C$19,A24)</f>
        <v/>
      </c>
    </row>
    <row r="25">
      <c r="A25" t="n">
        <v>2</v>
      </c>
      <c r="B25" t="inlineStr">
        <is>
          <t>Year 2</t>
        </is>
      </c>
      <c r="C25" s="70">
        <f>E24*($C$3)+$C$5+$C$6</f>
        <v/>
      </c>
      <c r="D25" s="70">
        <f>E24*$C$10 +$C$11+10*$C$12+$C$13*20+$C$14*E24</f>
        <v/>
      </c>
      <c r="E25" s="68">
        <f>E24+C25-D25+$C$2</f>
        <v/>
      </c>
      <c r="F25" s="68">
        <f>E25/POWER(1+$C$19,A25)</f>
        <v/>
      </c>
      <c r="G25" s="68">
        <f>(E24*$C$10)/POWER(1+$C$19,A25)</f>
        <v/>
      </c>
    </row>
    <row r="26">
      <c r="A26" t="n">
        <v>3</v>
      </c>
      <c r="B26" t="inlineStr">
        <is>
          <t>Year 3</t>
        </is>
      </c>
      <c r="C26" s="68">
        <f>E25*($C$3)+$C$5+$C$6</f>
        <v/>
      </c>
      <c r="D26" s="70">
        <f>E25*$C$10 +$C$11+10*$C$12+$C$13*20+$C$14*E25</f>
        <v/>
      </c>
      <c r="E26" s="68">
        <f>E25+C26-D26+$C$2</f>
        <v/>
      </c>
      <c r="F26" s="68">
        <f>E26/POWER(1+$C$19,A26)</f>
        <v/>
      </c>
      <c r="G26" s="68">
        <f>(E25*$C$10)/POWER(1+$C$19,A26)</f>
        <v/>
      </c>
    </row>
    <row r="27">
      <c r="A27" t="n">
        <v>4</v>
      </c>
      <c r="B27" t="inlineStr">
        <is>
          <t>Year 4</t>
        </is>
      </c>
      <c r="C27" s="68">
        <f>E26*($C$3)+$C$5+$C$6</f>
        <v/>
      </c>
      <c r="D27" s="70">
        <f>E26*$C$10 +$C$11+10*$C$12+$C$13*20+$C$14*E26</f>
        <v/>
      </c>
      <c r="E27" s="68">
        <f>E26+C27-D27+$C$2</f>
        <v/>
      </c>
      <c r="F27" s="68">
        <f>E27/POWER(1+$C$19,A27)</f>
        <v/>
      </c>
      <c r="G27" s="68">
        <f>(E26*$C$10)/POWER(1+$C$19,A27)</f>
        <v/>
      </c>
    </row>
    <row r="28">
      <c r="A28" t="n">
        <v>5</v>
      </c>
      <c r="B28" t="inlineStr">
        <is>
          <t>Year 5</t>
        </is>
      </c>
      <c r="C28" s="68">
        <f>E27*($C$3)+$C$5+$C$6</f>
        <v/>
      </c>
      <c r="D28" s="70">
        <f>E27*$C$10 +$C$11+10*$C$12+$C$13*20+$C$14*E27</f>
        <v/>
      </c>
      <c r="E28" s="68">
        <f>E27+C28-D28+$C$2</f>
        <v/>
      </c>
      <c r="F28" s="68">
        <f>E28/POWER(1+$C$19,A28)</f>
        <v/>
      </c>
      <c r="G28" s="68">
        <f>(E27*$C$10)/POWER(1+$C$19,A28)</f>
        <v/>
      </c>
    </row>
    <row r="29">
      <c r="A29" t="n">
        <v>6</v>
      </c>
      <c r="B29" t="inlineStr">
        <is>
          <t>Year 6</t>
        </is>
      </c>
      <c r="C29" s="68">
        <f>E28*($C$3)+$C$5+$C$6</f>
        <v/>
      </c>
      <c r="D29" s="70">
        <f>E28*$C$10 +$C$11+10*$C$12+$C$13*20+$C$14*E28</f>
        <v/>
      </c>
      <c r="E29" s="68">
        <f>E28+C29-D29+$C$2</f>
        <v/>
      </c>
      <c r="F29" s="68">
        <f>E29/POWER(1+$C$19,A29)</f>
        <v/>
      </c>
      <c r="G29" s="68">
        <f>(E28*$C$10)/POWER(1+$C$19,A29)</f>
        <v/>
      </c>
    </row>
    <row r="30">
      <c r="A30" t="n">
        <v>7</v>
      </c>
      <c r="B30" t="inlineStr">
        <is>
          <t>Year 7</t>
        </is>
      </c>
      <c r="C30" s="68">
        <f>E29*($C$3)+$C$5+$C$6</f>
        <v/>
      </c>
      <c r="D30" s="70">
        <f>E29*$C$10 +$C$11+10*$C$12+$C$13*20+$C$14*E29</f>
        <v/>
      </c>
      <c r="E30" s="68">
        <f>E29+C30-D30+$C$2</f>
        <v/>
      </c>
      <c r="F30" s="68">
        <f>E30/POWER(1+$C$19,A30)</f>
        <v/>
      </c>
      <c r="G30" s="68">
        <f>(E29*$C$10)/POWER(1+$C$19,A30)</f>
        <v/>
      </c>
    </row>
    <row r="31">
      <c r="A31" t="n">
        <v>8</v>
      </c>
      <c r="B31" t="inlineStr">
        <is>
          <t>Year 8</t>
        </is>
      </c>
      <c r="C31" s="68">
        <f>E30*($C$3)+$C$5+$C$6</f>
        <v/>
      </c>
      <c r="D31" s="70">
        <f>E30*$C$10 +$C$11+10*$C$12+$C$13*20+$C$14*E30</f>
        <v/>
      </c>
      <c r="E31" s="68">
        <f>E30+C31-D31+$C$2</f>
        <v/>
      </c>
      <c r="F31" s="68">
        <f>E31/POWER(1+$C$19,A31)</f>
        <v/>
      </c>
      <c r="G31" s="68">
        <f>(E30*$C$10)/POWER(1+$C$19,A31)</f>
        <v/>
      </c>
    </row>
    <row r="32">
      <c r="A32" t="n">
        <v>9</v>
      </c>
      <c r="B32" t="inlineStr">
        <is>
          <t>Year 9</t>
        </is>
      </c>
      <c r="C32" s="68">
        <f>E31*($C$3)+$C$5+$C$6</f>
        <v/>
      </c>
      <c r="D32" s="70">
        <f>E31*$C$10 +$C$11+10*$C$12+$C$13*20+$C$14*E31</f>
        <v/>
      </c>
      <c r="E32" s="68">
        <f>E31+C32-D32+$C$2</f>
        <v/>
      </c>
      <c r="F32" s="68">
        <f>E32/POWER(1+$C$19,A32)</f>
        <v/>
      </c>
      <c r="G32" s="68">
        <f>(E31*$C$10)/POWER(1+$C$19,A32)</f>
        <v/>
      </c>
    </row>
    <row r="33">
      <c r="A33" t="n">
        <v>10</v>
      </c>
      <c r="B33" t="inlineStr">
        <is>
          <t>Year 10</t>
        </is>
      </c>
      <c r="C33" s="68">
        <f>E32*($C$3)+$C$5+$C$6</f>
        <v/>
      </c>
      <c r="D33" s="70">
        <f>E32*$C$10 +$C$11+10*$C$12+$C$13*20+$C$14*E32</f>
        <v/>
      </c>
      <c r="E33" s="68">
        <f>E32+C33-D33+$C$2</f>
        <v/>
      </c>
      <c r="F33" s="68">
        <f>E33/POWER(1+$C$19,A33)</f>
        <v/>
      </c>
      <c r="G33" s="68">
        <f>(E32*$C$10)/POWER(1+$C$19,A33)</f>
        <v/>
      </c>
    </row>
    <row r="34">
      <c r="A34" t="n">
        <v>11</v>
      </c>
      <c r="B34" t="inlineStr">
        <is>
          <t>Year 11</t>
        </is>
      </c>
      <c r="C34" s="68">
        <f>E33*($C$3)+$C$5+$C$6</f>
        <v/>
      </c>
      <c r="D34" s="70">
        <f>E33*$C$10 +$C$11+10*$C$12+$C$13*20+$C$14*E33</f>
        <v/>
      </c>
      <c r="E34" s="68">
        <f>E33+C34-D34+$C$2</f>
        <v/>
      </c>
      <c r="F34" s="68">
        <f>E34/POWER(1+$C$19,A34)</f>
        <v/>
      </c>
      <c r="G34" s="68">
        <f>(E33*$C$10)/POWER(1+$C$19,A34)</f>
        <v/>
      </c>
    </row>
    <row r="35">
      <c r="A35" t="n">
        <v>12</v>
      </c>
      <c r="B35" t="inlineStr">
        <is>
          <t>Year 12</t>
        </is>
      </c>
      <c r="C35" s="68">
        <f>E34*($C$3)+$C$5+$C$6</f>
        <v/>
      </c>
      <c r="D35" s="70">
        <f>E34*$C$10 +$C$11+10*$C$12+$C$13*20+$C$14*E34</f>
        <v/>
      </c>
      <c r="E35" s="68">
        <f>E34+C35-D35+$C$2</f>
        <v/>
      </c>
      <c r="F35" s="68">
        <f>E35/POWER(1+$C$19,A35)</f>
        <v/>
      </c>
      <c r="G35" s="68">
        <f>(E34*$C$10)/POWER(1+$C$19,A35)</f>
        <v/>
      </c>
    </row>
    <row r="36">
      <c r="A36" t="n">
        <v>13</v>
      </c>
      <c r="B36" t="inlineStr">
        <is>
          <t>Year 13</t>
        </is>
      </c>
      <c r="C36" s="68">
        <f>E35*($C$3)+$C$5+$C$6</f>
        <v/>
      </c>
      <c r="D36" s="70">
        <f>E35*$C$10 +$C$11+10*$C$12+$C$13*20+$C$14*E35</f>
        <v/>
      </c>
      <c r="E36" s="68">
        <f>E35+C36-D36+$C$2</f>
        <v/>
      </c>
      <c r="F36" s="68">
        <f>E36/POWER(1+$C$19,A36)</f>
        <v/>
      </c>
      <c r="G36" s="68">
        <f>(E35*$C$10)/POWER(1+$C$19,A36)</f>
        <v/>
      </c>
    </row>
    <row r="37">
      <c r="A37" t="n">
        <v>14</v>
      </c>
      <c r="B37" t="inlineStr">
        <is>
          <t>Year 14</t>
        </is>
      </c>
      <c r="C37" s="68">
        <f>E36*($C$3)+$C$5+$C$6</f>
        <v/>
      </c>
      <c r="D37" s="70">
        <f>E36*$C$10 +$C$11+10*$C$12+$C$13*20+$C$14*E36</f>
        <v/>
      </c>
      <c r="E37" s="68">
        <f>E36+C37-D37+$C$2</f>
        <v/>
      </c>
      <c r="F37" s="68">
        <f>E37/POWER(1+$C$19,A37)</f>
        <v/>
      </c>
      <c r="G37" s="68">
        <f>(E36*$C$10)/POWER(1+$C$19,A37)</f>
        <v/>
      </c>
    </row>
    <row r="38">
      <c r="A38" t="n">
        <v>15</v>
      </c>
      <c r="B38" t="inlineStr">
        <is>
          <t>Year 15</t>
        </is>
      </c>
      <c r="C38" s="68">
        <f>E37*($C$3)+$C$5+$C$6</f>
        <v/>
      </c>
      <c r="D38" s="70">
        <f>E37*$C$10 +$C$11+10*$C$12+$C$13*20+$C$14*E37</f>
        <v/>
      </c>
      <c r="E38" s="68">
        <f>E37+C38-D38+$C$2</f>
        <v/>
      </c>
      <c r="F38" s="68">
        <f>E38/POWER(1+$C$19,A38)</f>
        <v/>
      </c>
      <c r="G38" s="68">
        <f>(E37*$C$10)/POWER(1+$C$19,A38)</f>
        <v/>
      </c>
    </row>
    <row r="39">
      <c r="A39" t="n">
        <v>16</v>
      </c>
      <c r="B39" t="inlineStr">
        <is>
          <t>Year 16</t>
        </is>
      </c>
      <c r="C39" s="68">
        <f>E38*($C$3)+$C$5+$C$6</f>
        <v/>
      </c>
      <c r="D39" s="70">
        <f>E38*$C$10 +$C$11+10*$C$12+$C$13*20+$C$14*E38</f>
        <v/>
      </c>
      <c r="E39" s="68">
        <f>E38+C39-D39+$C$2</f>
        <v/>
      </c>
      <c r="F39" s="68">
        <f>E39/POWER(1+$C$19,A39)</f>
        <v/>
      </c>
      <c r="G39" s="68">
        <f>(E38*$C$10)/POWER(1+$C$19,A39)</f>
        <v/>
      </c>
    </row>
    <row r="40">
      <c r="A40" t="n">
        <v>17</v>
      </c>
      <c r="B40" t="inlineStr">
        <is>
          <t>Year 17</t>
        </is>
      </c>
      <c r="C40" s="68">
        <f>E39*($C$3)+$C$5+$C$6</f>
        <v/>
      </c>
      <c r="D40" s="70">
        <f>E39*$C$10 +$C$11+10*$C$12+$C$13*20+$C$14*E39</f>
        <v/>
      </c>
      <c r="E40" s="68">
        <f>E39+C40-D40+$C$2</f>
        <v/>
      </c>
      <c r="F40" s="68">
        <f>E40/POWER(1+$C$19,A40)</f>
        <v/>
      </c>
      <c r="G40" s="68">
        <f>(E39*$C$10)/POWER(1+$C$19,A40)</f>
        <v/>
      </c>
    </row>
    <row r="41">
      <c r="A41" t="n">
        <v>18</v>
      </c>
      <c r="B41" t="inlineStr">
        <is>
          <t>Year 18</t>
        </is>
      </c>
      <c r="C41" s="68">
        <f>E40*($C$3)+$C$5+$C$6</f>
        <v/>
      </c>
      <c r="D41" s="70">
        <f>E40*$C$10 +$C$11+10*$C$12+$C$13*20+$C$14*E40</f>
        <v/>
      </c>
      <c r="E41" s="68">
        <f>E40+C41-D41+$C$2</f>
        <v/>
      </c>
      <c r="F41" s="68">
        <f>E41/POWER(1+$C$19,A41)</f>
        <v/>
      </c>
      <c r="G41" s="68">
        <f>(E40*$C$10)/POWER(1+$C$19,A41)</f>
        <v/>
      </c>
    </row>
    <row r="42">
      <c r="A42" t="n">
        <v>19</v>
      </c>
      <c r="B42" t="inlineStr">
        <is>
          <t>Year 19</t>
        </is>
      </c>
      <c r="C42" s="68">
        <f>E41*($C$3)+$C$5+$C$6</f>
        <v/>
      </c>
      <c r="D42" s="70">
        <f>E41*$C$10 +$C$11+10*$C$12+$C$13*20+$C$14*E41</f>
        <v/>
      </c>
      <c r="E42" s="68">
        <f>E41+C42-D42+$C$2</f>
        <v/>
      </c>
      <c r="F42" s="68">
        <f>E42/POWER(1+$C$19,A42)</f>
        <v/>
      </c>
      <c r="G42" s="68">
        <f>(E41*$C$10)/POWER(1+$C$19,A42)</f>
        <v/>
      </c>
    </row>
    <row r="43">
      <c r="A43" t="n">
        <v>20</v>
      </c>
      <c r="B43" t="inlineStr">
        <is>
          <t>Year 20</t>
        </is>
      </c>
      <c r="C43" s="68">
        <f>E42*($C$3)+$C$5+$C$6</f>
        <v/>
      </c>
      <c r="D43" s="70">
        <f>E42*$C$10 +$C$11+10*$C$12+$C$13*20+$C$14*E42</f>
        <v/>
      </c>
      <c r="E43" s="68">
        <f>E42+C43-D43+$C$2</f>
        <v/>
      </c>
      <c r="F43" s="68">
        <f>E43/POWER(1+$C$19,A43)</f>
        <v/>
      </c>
      <c r="G43" s="68">
        <f>(E42*$C$10)/POWER(1+$C$19,A43)</f>
        <v/>
      </c>
    </row>
    <row r="44">
      <c r="A44" t="n">
        <v>21</v>
      </c>
      <c r="B44" t="inlineStr">
        <is>
          <t>Year 21</t>
        </is>
      </c>
      <c r="C44" s="68">
        <f>E43*($C$3)+$C$5+$C$6</f>
        <v/>
      </c>
      <c r="D44" s="70">
        <f>E43*$C$10 +$C$11+10*$C$12+$C$13*20+$C$14*E43</f>
        <v/>
      </c>
      <c r="E44" s="68">
        <f>E43+C44-D44+$C$2</f>
        <v/>
      </c>
      <c r="F44" s="68">
        <f>E44/POWER(1+$C$19,A44)</f>
        <v/>
      </c>
      <c r="G44" s="68">
        <f>(E43*$C$10)/POWER(1+$C$19,A44)</f>
        <v/>
      </c>
    </row>
    <row r="45">
      <c r="A45" t="n">
        <v>22</v>
      </c>
      <c r="B45" t="inlineStr">
        <is>
          <t>Year 22</t>
        </is>
      </c>
      <c r="C45" s="68">
        <f>E44*($C$3)+$C$5+$C$6</f>
        <v/>
      </c>
      <c r="D45" s="70">
        <f>E44*$C$10 +$C$11+10*$C$12+$C$13*20+$C$14*E44</f>
        <v/>
      </c>
      <c r="E45" s="68">
        <f>E44+C45-D45+$C$2</f>
        <v/>
      </c>
      <c r="F45" s="68">
        <f>E45/POWER(1+$C$19,A45)</f>
        <v/>
      </c>
      <c r="G45" s="68">
        <f>(E44*$C$10)/POWER(1+$C$19,A45)</f>
        <v/>
      </c>
    </row>
    <row r="46">
      <c r="A46" t="n">
        <v>23</v>
      </c>
      <c r="B46" t="inlineStr">
        <is>
          <t>Year 23</t>
        </is>
      </c>
      <c r="C46" s="68">
        <f>E45*($C$3)+$C$5+$C$6</f>
        <v/>
      </c>
      <c r="D46" s="70">
        <f>E45*$C$10 +$C$11+10*$C$12+$C$13*20+$C$14*E45</f>
        <v/>
      </c>
      <c r="E46" s="68">
        <f>E45+C46-D46+$C$2</f>
        <v/>
      </c>
      <c r="F46" s="68">
        <f>E46/POWER(1+$C$19,A46)</f>
        <v/>
      </c>
      <c r="G46" s="68">
        <f>(E45*$C$10)/POWER(1+$C$19,A46)</f>
        <v/>
      </c>
    </row>
    <row r="47">
      <c r="A47" t="n">
        <v>24</v>
      </c>
      <c r="B47" t="inlineStr">
        <is>
          <t>Year 24</t>
        </is>
      </c>
      <c r="C47" s="68">
        <f>E46*($C$3)</f>
        <v/>
      </c>
      <c r="D47" s="68">
        <f>E46*$C$10 +$C$11+10*$C$12+$C$13*20+$C$14*E46+#REF!*C47</f>
        <v/>
      </c>
      <c r="E47" s="68">
        <f>E46+C47-D47</f>
        <v/>
      </c>
      <c r="F47" s="68">
        <f>E47/POWER(1+$C$19,A47)</f>
        <v/>
      </c>
      <c r="G47" s="68">
        <f>(E46*$C$10)/POWER(1+$C$19,A47)</f>
        <v/>
      </c>
    </row>
    <row r="48">
      <c r="A48" t="n">
        <v>25</v>
      </c>
      <c r="B48" t="inlineStr">
        <is>
          <t>Year 25</t>
        </is>
      </c>
      <c r="C48" s="68">
        <f>E47*($C$3)</f>
        <v/>
      </c>
      <c r="D48" s="68">
        <f>E47*$C$10 +$C$11+10*$C$12+$C$13*20+$C$14*E47+#REF!*C48</f>
        <v/>
      </c>
      <c r="E48" s="68">
        <f>E47+C48-D48</f>
        <v/>
      </c>
      <c r="F48" s="68">
        <f>E48/POWER(1+$C$19,A48)</f>
        <v/>
      </c>
      <c r="G48" s="68">
        <f>(E47*$C$10)/POWER(1+$C$19,A48)</f>
        <v/>
      </c>
    </row>
    <row r="49">
      <c r="A49" t="n">
        <v>26</v>
      </c>
      <c r="B49" t="inlineStr">
        <is>
          <t>Year 26</t>
        </is>
      </c>
      <c r="C49" s="68">
        <f>E48*($C$3)</f>
        <v/>
      </c>
      <c r="D49" s="68">
        <f>E48*$C$10 +$C$11+10*$C$12+$C$13*20+$C$14*E48+#REF!*C49</f>
        <v/>
      </c>
      <c r="E49" s="68">
        <f>E48+C49-D49</f>
        <v/>
      </c>
      <c r="F49" s="68">
        <f>E49/POWER(1+$C$19,A49)</f>
        <v/>
      </c>
      <c r="G49" s="68">
        <f>(E48*$C$10)/POWER(1+$C$19,A49)</f>
        <v/>
      </c>
    </row>
    <row r="50">
      <c r="A50" t="n">
        <v>27</v>
      </c>
      <c r="B50" t="inlineStr">
        <is>
          <t>Year 27</t>
        </is>
      </c>
      <c r="C50" s="68">
        <f>E49*($C$3)</f>
        <v/>
      </c>
      <c r="D50" s="68">
        <f>E49*$C$10 +$C$11+10*$C$12+$C$13*20+$C$14*E49+#REF!*C50</f>
        <v/>
      </c>
      <c r="E50" s="68">
        <f>E49+C50-D50</f>
        <v/>
      </c>
      <c r="F50" s="68">
        <f>E50/POWER(1+$C$19,A50)</f>
        <v/>
      </c>
      <c r="G50" s="68">
        <f>(E49*$C$10)/POWER(1+$C$19,A50)</f>
        <v/>
      </c>
    </row>
    <row r="51">
      <c r="A51" t="n">
        <v>28</v>
      </c>
      <c r="B51" t="inlineStr">
        <is>
          <t>Year 28</t>
        </is>
      </c>
      <c r="C51" s="68">
        <f>E50*($C$3)</f>
        <v/>
      </c>
      <c r="D51" s="68">
        <f>E50*$C$10 +$C$11+10*$C$12+$C$13*20+$C$14*E50+#REF!*C51</f>
        <v/>
      </c>
      <c r="E51" s="68">
        <f>E50+C51-D51</f>
        <v/>
      </c>
      <c r="F51" s="68">
        <f>E51/POWER(1+$C$19,A51)</f>
        <v/>
      </c>
      <c r="G51" s="68">
        <f>(E50*$C$10)/POWER(1+$C$19,A51)</f>
        <v/>
      </c>
    </row>
    <row r="52">
      <c r="A52" t="n">
        <v>29</v>
      </c>
      <c r="B52" t="inlineStr">
        <is>
          <t>Year 29</t>
        </is>
      </c>
      <c r="C52" s="68">
        <f>E51*($C$3)</f>
        <v/>
      </c>
      <c r="D52" s="68">
        <f>E51*$C$10 +$C$11+10*$C$12+$C$13*20+$C$14*E51+#REF!*C52</f>
        <v/>
      </c>
      <c r="E52" s="68">
        <f>E51+C52-D52</f>
        <v/>
      </c>
      <c r="F52" s="68">
        <f>E52/POWER(1+$C$19,A52)</f>
        <v/>
      </c>
      <c r="G52" s="68">
        <f>(E51*$C$10)/POWER(1+$C$19,A52)</f>
        <v/>
      </c>
    </row>
    <row r="53">
      <c r="A53" t="n">
        <v>30</v>
      </c>
      <c r="B53" t="inlineStr">
        <is>
          <t>Year 30</t>
        </is>
      </c>
      <c r="C53" s="68">
        <f>E52*($C$3)</f>
        <v/>
      </c>
      <c r="D53" s="68">
        <f>E52*$C$10 +$C$11+10*$C$12+$C$13*20+$C$14*E52+#REF!*C53</f>
        <v/>
      </c>
      <c r="E53" s="68">
        <f>E52+C53-D53</f>
        <v/>
      </c>
      <c r="F53" s="68">
        <f>E53/POWER(1+$C$19,A53)</f>
        <v/>
      </c>
      <c r="G53" s="68">
        <f>(E52*$C$10)/POWER(1+$C$19,A53)</f>
        <v/>
      </c>
    </row>
    <row r="54">
      <c r="A54" t="n">
        <v>31</v>
      </c>
      <c r="B54" t="inlineStr">
        <is>
          <t>Year 31</t>
        </is>
      </c>
      <c r="C54" s="68">
        <f>E53*($C$3)</f>
        <v/>
      </c>
      <c r="D54" s="68">
        <f>E53*$C$10 +$C$11+10*$C$12+$C$13*20+$C$14*E53+#REF!*C54</f>
        <v/>
      </c>
      <c r="E54" s="68">
        <f>E53+C54-D54</f>
        <v/>
      </c>
      <c r="F54" s="68">
        <f>E54/POWER(1+$C$19,A54)</f>
        <v/>
      </c>
      <c r="G54" s="68">
        <f>(E53*$C$10)/POWER(1+$C$19,A54)</f>
        <v/>
      </c>
    </row>
    <row r="55">
      <c r="A55" t="n">
        <v>32</v>
      </c>
      <c r="B55" t="inlineStr">
        <is>
          <t>Year 32</t>
        </is>
      </c>
      <c r="C55" s="68">
        <f>E54*($C$3)</f>
        <v/>
      </c>
      <c r="D55" s="68">
        <f>E54*$C$10 +$C$11+10*$C$12+$C$13*20+$C$14*E54+#REF!*C55</f>
        <v/>
      </c>
      <c r="E55" s="68">
        <f>E54+C55-D55</f>
        <v/>
      </c>
      <c r="F55" s="68">
        <f>E55/POWER(1+$C$19,A55)</f>
        <v/>
      </c>
      <c r="G55" s="68">
        <f>(E54*$C$10)/POWER(1+$C$19,A55)</f>
        <v/>
      </c>
    </row>
    <row r="56">
      <c r="A56" t="n">
        <v>33</v>
      </c>
      <c r="B56" t="inlineStr">
        <is>
          <t>Year 33</t>
        </is>
      </c>
      <c r="C56" s="68">
        <f>E55*($C$3)</f>
        <v/>
      </c>
      <c r="D56" s="68">
        <f>E55*$C$10 +$C$11+10*$C$12+$C$13*20+$C$14*E55+#REF!*C56</f>
        <v/>
      </c>
      <c r="E56" s="68">
        <f>E55+C56-D56</f>
        <v/>
      </c>
      <c r="F56" s="68">
        <f>E56/POWER(1+$C$19,A56)</f>
        <v/>
      </c>
      <c r="G56" s="68">
        <f>(E55*$C$10)/POWER(1+$C$19,A56)</f>
        <v/>
      </c>
    </row>
    <row r="57">
      <c r="A57" t="n">
        <v>34</v>
      </c>
      <c r="B57" t="inlineStr">
        <is>
          <t>Year 34</t>
        </is>
      </c>
      <c r="C57" s="68">
        <f>E56*($C$3)</f>
        <v/>
      </c>
      <c r="D57" s="68">
        <f>E56*$C$10 +$C$11+10*$C$12+$C$13*20+$C$14*E56+#REF!*C57</f>
        <v/>
      </c>
      <c r="E57" s="68">
        <f>E56+C57-D57</f>
        <v/>
      </c>
      <c r="F57" s="68">
        <f>E57/POWER(1+$C$19,A57)</f>
        <v/>
      </c>
      <c r="G57" s="68">
        <f>(E56*$C$10)/POWER(1+$C$19,A57)</f>
        <v/>
      </c>
    </row>
    <row r="58">
      <c r="A58" t="n">
        <v>35</v>
      </c>
      <c r="B58" t="inlineStr">
        <is>
          <t>Year 35</t>
        </is>
      </c>
      <c r="C58" s="68">
        <f>E57*($C$3)</f>
        <v/>
      </c>
      <c r="D58" s="68">
        <f>E57*$C$10 +$C$11+10*$C$12+$C$13*20+$C$14*E57+#REF!*C58</f>
        <v/>
      </c>
      <c r="E58" s="68">
        <f>E57+C58-D58</f>
        <v/>
      </c>
      <c r="F58" s="68">
        <f>E58/POWER(1+$C$19,A58)</f>
        <v/>
      </c>
      <c r="G58" s="68">
        <f>(E57*$C$10)/POWER(1+$C$19,A58)</f>
        <v/>
      </c>
    </row>
    <row r="59">
      <c r="A59" t="n">
        <v>36</v>
      </c>
      <c r="B59" t="inlineStr">
        <is>
          <t>Year 36</t>
        </is>
      </c>
      <c r="C59" s="68">
        <f>E58*($C$3)</f>
        <v/>
      </c>
      <c r="D59" s="68">
        <f>E58*$C$10 +$C$11+10*$C$12+$C$13*20+$C$14*E58+#REF!*C59</f>
        <v/>
      </c>
      <c r="E59" s="68">
        <f>E58+C59-D59</f>
        <v/>
      </c>
      <c r="F59" s="68">
        <f>E59/POWER(1+$C$19,A59)</f>
        <v/>
      </c>
      <c r="G59" s="68">
        <f>(E58*$C$10)/POWER(1+$C$19,A59)</f>
        <v/>
      </c>
    </row>
    <row r="60">
      <c r="A60" t="n">
        <v>37</v>
      </c>
      <c r="B60" t="inlineStr">
        <is>
          <t>Year 37</t>
        </is>
      </c>
      <c r="C60" s="68">
        <f>E59*($C$3)</f>
        <v/>
      </c>
      <c r="D60" s="68">
        <f>E59*$C$10 +$C$11+10*$C$12+$C$13*20+$C$14*E59+#REF!*C60</f>
        <v/>
      </c>
      <c r="E60" s="68">
        <f>E59+C60-D60</f>
        <v/>
      </c>
      <c r="F60" s="68">
        <f>E60/POWER(1+$C$19,A60)</f>
        <v/>
      </c>
      <c r="G60" s="68">
        <f>(E59*$C$10)/POWER(1+$C$19,A60)</f>
        <v/>
      </c>
    </row>
    <row r="61">
      <c r="A61" t="n">
        <v>38</v>
      </c>
      <c r="B61" t="inlineStr">
        <is>
          <t>Year 38</t>
        </is>
      </c>
      <c r="C61" s="68">
        <f>E60*($C$3)</f>
        <v/>
      </c>
      <c r="D61" s="68">
        <f>E60*$C$10 +$C$11+10*$C$12+$C$13*20+$C$14*E60+#REF!*C61</f>
        <v/>
      </c>
      <c r="E61" s="68">
        <f>E60+C61-D61</f>
        <v/>
      </c>
      <c r="F61" s="68">
        <f>E61/POWER(1+$C$19,A61)</f>
        <v/>
      </c>
      <c r="G61" s="68">
        <f>(E60*$C$10)/POWER(1+$C$19,A61)</f>
        <v/>
      </c>
    </row>
    <row r="62">
      <c r="A62" t="n">
        <v>39</v>
      </c>
      <c r="B62" t="inlineStr">
        <is>
          <t>Year 39</t>
        </is>
      </c>
      <c r="C62" s="68">
        <f>E61*($C$3)</f>
        <v/>
      </c>
      <c r="D62" s="68">
        <f>E61*$C$10 +$C$11+10*$C$12+$C$13*20+$C$14*E61+#REF!*C62</f>
        <v/>
      </c>
      <c r="E62" s="68">
        <f>E61+C62-D62</f>
        <v/>
      </c>
      <c r="F62" s="68">
        <f>E62/POWER(1+$C$19,A62)</f>
        <v/>
      </c>
      <c r="G62" s="68">
        <f>(E61*$C$10)/POWER(1+$C$19,A62)</f>
        <v/>
      </c>
    </row>
    <row r="63">
      <c r="A63" t="n">
        <v>40</v>
      </c>
      <c r="B63" t="inlineStr">
        <is>
          <t>Year 40</t>
        </is>
      </c>
      <c r="C63" s="68">
        <f>E62*($C$3)</f>
        <v/>
      </c>
      <c r="D63" s="68">
        <f>E62*$C$10 +$C$11+10*$C$12+$C$13*20+$C$14*E62+#REF!*C63</f>
        <v/>
      </c>
      <c r="E63" s="68">
        <f>E62+C63-D63</f>
        <v/>
      </c>
      <c r="F63" s="68">
        <f>E63/POWER(1+$C$19,A63)</f>
        <v/>
      </c>
      <c r="G63" s="68">
        <f>(E62*$C$10)/POWER(1+$C$19,A63)</f>
        <v/>
      </c>
    </row>
    <row r="64">
      <c r="A64" t="n">
        <v>41</v>
      </c>
      <c r="B64" t="inlineStr">
        <is>
          <t>Year 41</t>
        </is>
      </c>
      <c r="C64" s="68">
        <f>E63*($C$3)</f>
        <v/>
      </c>
      <c r="D64" s="68">
        <f>E63*$C$10 +$C$11+10*$C$12+$C$13*20+$C$14*E63+#REF!*C64</f>
        <v/>
      </c>
      <c r="E64" s="68">
        <f>E63+C64-D64</f>
        <v/>
      </c>
      <c r="F64" s="68">
        <f>E64/POWER(1+$C$19,A64)</f>
        <v/>
      </c>
      <c r="G64" s="68">
        <f>(E63*$C$10)/POWER(1+$C$19,A64)</f>
        <v/>
      </c>
    </row>
    <row r="65">
      <c r="A65" t="n">
        <v>42</v>
      </c>
      <c r="B65" t="inlineStr">
        <is>
          <t>Year 42</t>
        </is>
      </c>
      <c r="C65" s="68">
        <f>E64*($C$3)</f>
        <v/>
      </c>
      <c r="D65" s="68">
        <f>E64*$C$10 +$C$11+10*$C$12+$C$13*20+$C$14*E64+#REF!*C65</f>
        <v/>
      </c>
      <c r="E65" s="68">
        <f>E64+C65-D65</f>
        <v/>
      </c>
      <c r="F65" s="68">
        <f>E65/POWER(1+$C$19,A65)</f>
        <v/>
      </c>
      <c r="G65" s="68">
        <f>(E64*$C$10)/POWER(1+$C$19,A65)</f>
        <v/>
      </c>
    </row>
    <row r="66">
      <c r="A66" t="n">
        <v>43</v>
      </c>
      <c r="B66" t="inlineStr">
        <is>
          <t>Year 43</t>
        </is>
      </c>
      <c r="C66" s="68">
        <f>E65*($C$3)</f>
        <v/>
      </c>
      <c r="D66" s="68">
        <f>E65*$C$10 +$C$11+10*$C$12+$C$13*20+$C$14*E65+#REF!*C66</f>
        <v/>
      </c>
      <c r="E66" s="68">
        <f>E65+C66-D66</f>
        <v/>
      </c>
      <c r="F66" s="68">
        <f>E66/POWER(1+$C$19,A66)</f>
        <v/>
      </c>
      <c r="G66" s="68">
        <f>(E65*$C$10)/POWER(1+$C$19,A66)</f>
        <v/>
      </c>
    </row>
    <row r="67">
      <c r="A67" t="n">
        <v>44</v>
      </c>
      <c r="B67" t="inlineStr">
        <is>
          <t>Year 44</t>
        </is>
      </c>
      <c r="C67" s="68">
        <f>E66*($C$3)</f>
        <v/>
      </c>
      <c r="D67" s="68">
        <f>E66*$C$10 +$C$11+10*$C$12+$C$13*20+$C$14*E66+#REF!*C67</f>
        <v/>
      </c>
      <c r="E67" s="68">
        <f>E66+C67-D67</f>
        <v/>
      </c>
      <c r="F67" s="68">
        <f>E67/POWER(1+$C$19,A67)</f>
        <v/>
      </c>
      <c r="G67" s="68">
        <f>(E66*$C$10)/POWER(1+$C$19,A67)</f>
        <v/>
      </c>
    </row>
    <row r="68">
      <c r="A68" t="n">
        <v>45</v>
      </c>
      <c r="B68" t="inlineStr">
        <is>
          <t>Year 45</t>
        </is>
      </c>
      <c r="C68" s="68">
        <f>E67*($C$3)</f>
        <v/>
      </c>
      <c r="D68" s="68">
        <f>E67*$C$10 +$C$11+10*$C$12+$C$13*20+$C$14*E67+#REF!*C68</f>
        <v/>
      </c>
      <c r="E68" s="68">
        <f>E67+C68-D68</f>
        <v/>
      </c>
      <c r="F68" s="68">
        <f>E68/POWER(1+$C$19,A68)</f>
        <v/>
      </c>
      <c r="G68" s="68">
        <f>(E67*$C$10)/POWER(1+$C$19,A68)</f>
        <v/>
      </c>
    </row>
    <row r="69">
      <c r="A69" t="n">
        <v>46</v>
      </c>
      <c r="B69" t="inlineStr">
        <is>
          <t>Year 46</t>
        </is>
      </c>
      <c r="C69" s="68">
        <f>E68*($C$3)</f>
        <v/>
      </c>
      <c r="D69" s="68">
        <f>E68*$C$10 +$C$11+10*$C$12+$C$13*20+$C$14*E68+#REF!*C69</f>
        <v/>
      </c>
      <c r="E69" s="68">
        <f>E68+C69-D69</f>
        <v/>
      </c>
      <c r="F69" s="68">
        <f>E69/POWER(1+$C$19,A69)</f>
        <v/>
      </c>
      <c r="G69" s="68">
        <f>(E68*$C$10)/POWER(1+$C$19,A69)</f>
        <v/>
      </c>
    </row>
    <row r="70">
      <c r="A70" t="n">
        <v>47</v>
      </c>
      <c r="B70" t="inlineStr">
        <is>
          <t>Year 47</t>
        </is>
      </c>
      <c r="C70" s="68">
        <f>E69*($C$3)</f>
        <v/>
      </c>
      <c r="D70" s="68">
        <f>E69*$C$10 +$C$11+10*$C$12+$C$13*20+$C$14*E69+#REF!*C70</f>
        <v/>
      </c>
      <c r="E70" s="68">
        <f>E69+C70-D70</f>
        <v/>
      </c>
      <c r="F70" s="68">
        <f>E70/POWER(1+$C$19,A70)</f>
        <v/>
      </c>
      <c r="G70" s="68">
        <f>(E69*$C$10)/POWER(1+$C$19,A70)</f>
        <v/>
      </c>
    </row>
    <row r="71">
      <c r="A71" t="n">
        <v>48</v>
      </c>
      <c r="B71" t="inlineStr">
        <is>
          <t>Year 48</t>
        </is>
      </c>
      <c r="C71" s="68">
        <f>E70*($C$3)</f>
        <v/>
      </c>
      <c r="D71" s="68">
        <f>E70*$C$10 +$C$11+10*$C$12+$C$13*20+$C$14*E70+#REF!*C71</f>
        <v/>
      </c>
      <c r="E71" s="68">
        <f>E70+C71-D71</f>
        <v/>
      </c>
      <c r="F71" s="68">
        <f>E71/POWER(1+$C$19,A71)</f>
        <v/>
      </c>
      <c r="G71" s="68">
        <f>(E70*$C$10)/POWER(1+$C$19,A71)</f>
        <v/>
      </c>
    </row>
    <row r="72">
      <c r="A72" t="n">
        <v>49</v>
      </c>
      <c r="B72" t="inlineStr">
        <is>
          <t>Year 49</t>
        </is>
      </c>
      <c r="C72" s="68">
        <f>E71*($C$3)</f>
        <v/>
      </c>
      <c r="D72" s="68">
        <f>E71*$C$10 +$C$11+10*$C$12+$C$13*20+$C$14*E71+#REF!*C72</f>
        <v/>
      </c>
      <c r="E72" s="68">
        <f>E71+C72-D72</f>
        <v/>
      </c>
      <c r="F72" s="68">
        <f>E72/POWER(1+$C$19,A72)</f>
        <v/>
      </c>
      <c r="G72" s="68">
        <f>(E71*$C$10)/POWER(1+$C$19,A72)</f>
        <v/>
      </c>
    </row>
    <row r="73">
      <c r="A73" t="n">
        <v>50</v>
      </c>
      <c r="B73" t="inlineStr">
        <is>
          <t>Year 50</t>
        </is>
      </c>
      <c r="C73" s="68">
        <f>E72*($C$3)</f>
        <v/>
      </c>
      <c r="D73" s="68">
        <f>E72*$C$10 +$C$11+10*$C$12+$C$13*20+$C$14*E72+#REF!*C73</f>
        <v/>
      </c>
      <c r="E73" s="68">
        <f>E72+C73-D73</f>
        <v/>
      </c>
      <c r="F73" s="68">
        <f>E73/POWER(1+$C$19,A73)</f>
        <v/>
      </c>
      <c r="G73" s="68">
        <f>(E72*$C$10)/POWER(1+$C$19,A73)</f>
        <v/>
      </c>
    </row>
    <row r="74">
      <c r="A74" t="n">
        <v>51</v>
      </c>
      <c r="B74" t="inlineStr">
        <is>
          <t>Year 51</t>
        </is>
      </c>
      <c r="C74" s="68">
        <f>E73*($C$3)</f>
        <v/>
      </c>
      <c r="D74" s="68">
        <f>E73*$C$10 +$C$11+10*$C$12+$C$13*20+$C$14*E73+#REF!*C74</f>
        <v/>
      </c>
      <c r="E74" s="68">
        <f>E73+C74-D74</f>
        <v/>
      </c>
      <c r="F74" s="68">
        <f>E74/POWER(1+$C$19,A74)</f>
        <v/>
      </c>
      <c r="G74" s="68">
        <f>(E73*$C$10)/POWER(1+$C$19,A74)</f>
        <v/>
      </c>
    </row>
    <row r="75">
      <c r="A75" t="n">
        <v>52</v>
      </c>
      <c r="B75" t="inlineStr">
        <is>
          <t>Year 52</t>
        </is>
      </c>
      <c r="C75" s="68">
        <f>E74*($C$3)</f>
        <v/>
      </c>
      <c r="D75" s="68">
        <f>E74*$C$10 +$C$11+10*$C$12+$C$13*20+$C$14*E74+#REF!*C75</f>
        <v/>
      </c>
      <c r="E75" s="68">
        <f>E74+C75-D75</f>
        <v/>
      </c>
      <c r="F75" s="68">
        <f>E75/POWER(1+$C$19,A75)</f>
        <v/>
      </c>
      <c r="G75" s="68">
        <f>(E74*$C$10)/POWER(1+$C$19,A75)</f>
        <v/>
      </c>
    </row>
    <row r="76">
      <c r="A76" t="n">
        <v>53</v>
      </c>
      <c r="B76" t="inlineStr">
        <is>
          <t>Year 53</t>
        </is>
      </c>
      <c r="C76" s="68">
        <f>E75*($C$3)</f>
        <v/>
      </c>
      <c r="D76" s="68">
        <f>E75*$C$10 +$C$11+10*$C$12+$C$13*20+$C$14*E75+#REF!*C76</f>
        <v/>
      </c>
      <c r="E76" s="68">
        <f>E75+C76-D76</f>
        <v/>
      </c>
      <c r="F76" s="68">
        <f>E76/POWER(1+$C$19,A76)</f>
        <v/>
      </c>
      <c r="G76" s="68">
        <f>(E75*$C$10)/POWER(1+$C$19,A76)</f>
        <v/>
      </c>
    </row>
    <row r="77">
      <c r="A77" t="n">
        <v>54</v>
      </c>
      <c r="B77" t="inlineStr">
        <is>
          <t>Year 54</t>
        </is>
      </c>
      <c r="C77" s="68">
        <f>E76*($C$3)</f>
        <v/>
      </c>
      <c r="D77" s="68">
        <f>E76*$C$10 +$C$11+10*$C$12+$C$13*20+$C$14*E76+#REF!*C77</f>
        <v/>
      </c>
      <c r="E77" s="68">
        <f>E76+C77-D77</f>
        <v/>
      </c>
      <c r="F77" s="68">
        <f>E77/POWER(1+$C$19,A77)</f>
        <v/>
      </c>
      <c r="G77" s="68">
        <f>(E76*$C$10)/POWER(1+$C$19,A77)</f>
        <v/>
      </c>
    </row>
    <row r="78">
      <c r="A78" t="n">
        <v>55</v>
      </c>
      <c r="B78" t="inlineStr">
        <is>
          <t>Year 55</t>
        </is>
      </c>
      <c r="C78" s="68">
        <f>E77*($C$3)</f>
        <v/>
      </c>
      <c r="D78" s="68">
        <f>E77*$C$10 +$C$11+10*$C$12+$C$13*20+$C$14*E77+#REF!*C78</f>
        <v/>
      </c>
      <c r="E78" s="68">
        <f>E77+C78-D78</f>
        <v/>
      </c>
      <c r="F78" s="68">
        <f>E78/POWER(1+$C$19,A78)</f>
        <v/>
      </c>
      <c r="G78" s="68">
        <f>(E77*$C$10)/POWER(1+$C$19,A78)</f>
        <v/>
      </c>
    </row>
    <row r="79">
      <c r="A79" t="n">
        <v>56</v>
      </c>
      <c r="B79" t="inlineStr">
        <is>
          <t>Year 56</t>
        </is>
      </c>
      <c r="C79" s="68">
        <f>E78*($C$3)</f>
        <v/>
      </c>
      <c r="D79" s="68">
        <f>E78*$C$10 +$C$11+10*$C$12+$C$13*20+$C$14*E78+#REF!*C79</f>
        <v/>
      </c>
      <c r="E79" s="68">
        <f>E78+C79-D79</f>
        <v/>
      </c>
      <c r="F79" s="68">
        <f>E79/POWER(1+$C$19,A79)</f>
        <v/>
      </c>
      <c r="G79" s="68">
        <f>(E78*$C$10)/POWER(1+$C$19,A79)</f>
        <v/>
      </c>
    </row>
    <row r="80">
      <c r="A80" t="n">
        <v>57</v>
      </c>
      <c r="B80" t="inlineStr">
        <is>
          <t>Year 57</t>
        </is>
      </c>
      <c r="C80" s="68">
        <f>E79*($C$3)</f>
        <v/>
      </c>
      <c r="D80" s="68">
        <f>E79*$C$10 +$C$11+10*$C$12+$C$13*20+$C$14*E79+#REF!*C80</f>
        <v/>
      </c>
      <c r="E80" s="68">
        <f>E79+C80-D80</f>
        <v/>
      </c>
      <c r="F80" s="68">
        <f>E80/POWER(1+$C$19,A80)</f>
        <v/>
      </c>
      <c r="G80" s="68">
        <f>(E79*$C$10)/POWER(1+$C$19,A80)</f>
        <v/>
      </c>
    </row>
    <row r="81">
      <c r="A81" t="n">
        <v>58</v>
      </c>
      <c r="B81" t="inlineStr">
        <is>
          <t>Year 58</t>
        </is>
      </c>
      <c r="C81" s="68">
        <f>E80*($C$3)</f>
        <v/>
      </c>
      <c r="D81" s="68">
        <f>E80*$C$10 +$C$11+10*$C$12+$C$13*20+$C$14*E80+#REF!*C81</f>
        <v/>
      </c>
      <c r="E81" s="68">
        <f>E80+C81-D81</f>
        <v/>
      </c>
      <c r="F81" s="68">
        <f>E81/POWER(1+$C$19,A81)</f>
        <v/>
      </c>
      <c r="G81" s="68">
        <f>(E80*$C$10)/POWER(1+$C$19,A81)</f>
        <v/>
      </c>
    </row>
    <row r="82">
      <c r="A82" t="n">
        <v>59</v>
      </c>
      <c r="B82" t="inlineStr">
        <is>
          <t>Year 59</t>
        </is>
      </c>
      <c r="C82" s="68">
        <f>E81*($C$3)</f>
        <v/>
      </c>
      <c r="D82" s="68">
        <f>E81*$C$10 +$C$11+10*$C$12+$C$13*20+$C$14*E81+#REF!*C82</f>
        <v/>
      </c>
      <c r="E82" s="68">
        <f>E81+C82-D82</f>
        <v/>
      </c>
      <c r="F82" s="68">
        <f>E82/POWER(1+$C$19,A82)</f>
        <v/>
      </c>
      <c r="G82" s="68">
        <f>(E81*$C$10)/POWER(1+$C$19,A82)</f>
        <v/>
      </c>
    </row>
    <row r="83">
      <c r="A83" t="n">
        <v>60</v>
      </c>
      <c r="B83" t="inlineStr">
        <is>
          <t>Year 60</t>
        </is>
      </c>
      <c r="C83" s="68">
        <f>E82*($C$3)</f>
        <v/>
      </c>
      <c r="D83" s="68">
        <f>E82*$C$10 +$C$11+10*$C$12+$C$13*20+$C$14*E82+#REF!*C83</f>
        <v/>
      </c>
      <c r="E83" s="68">
        <f>E82+C83-D83</f>
        <v/>
      </c>
      <c r="F83" s="68">
        <f>E83/POWER(1+$C$19,A83)</f>
        <v/>
      </c>
      <c r="G83" s="68">
        <f>(E82*$C$10)/POWER(1+$C$19,A83)</f>
        <v/>
      </c>
    </row>
    <row r="84">
      <c r="A84" t="n">
        <v>61</v>
      </c>
      <c r="B84" t="inlineStr">
        <is>
          <t>Year 61</t>
        </is>
      </c>
      <c r="C84" s="68">
        <f>E83*($C$3)</f>
        <v/>
      </c>
      <c r="D84" s="68">
        <f>E83*$C$10 +$C$11+10*$C$12+$C$13*20+$C$14*E83+#REF!*C84</f>
        <v/>
      </c>
      <c r="E84" s="68">
        <f>E83+C84-D84</f>
        <v/>
      </c>
      <c r="F84" s="68">
        <f>E84/POWER(1+$C$19,A84)</f>
        <v/>
      </c>
      <c r="G84" s="68">
        <f>(E83*$C$10)/POWER(1+$C$19,A84)</f>
        <v/>
      </c>
    </row>
    <row r="85">
      <c r="A85" t="n">
        <v>62</v>
      </c>
      <c r="B85" t="inlineStr">
        <is>
          <t>Year 62</t>
        </is>
      </c>
      <c r="C85" s="68">
        <f>E84*($C$3)</f>
        <v/>
      </c>
      <c r="D85" s="68">
        <f>E84*$C$10 +$C$11+10*$C$12+$C$13*20+$C$14*E84+#REF!*C85</f>
        <v/>
      </c>
      <c r="E85" s="68">
        <f>E84+C85-D85</f>
        <v/>
      </c>
      <c r="F85" s="68">
        <f>E85/POWER(1+$C$19,A85)</f>
        <v/>
      </c>
      <c r="G85" s="68">
        <f>(E84*$C$10)/POWER(1+$C$19,A85)</f>
        <v/>
      </c>
    </row>
    <row r="86">
      <c r="A86" t="n">
        <v>63</v>
      </c>
      <c r="B86" t="inlineStr">
        <is>
          <t>Year 63</t>
        </is>
      </c>
      <c r="C86" s="68">
        <f>E85*($C$3)</f>
        <v/>
      </c>
      <c r="D86" s="68">
        <f>E85*$C$10 +$C$11+10*$C$12+$C$13*20+$C$14*E85+#REF!*C86</f>
        <v/>
      </c>
      <c r="E86" s="68">
        <f>E85+C86-D86</f>
        <v/>
      </c>
      <c r="F86" s="68">
        <f>E86/POWER(1+$C$19,A86)</f>
        <v/>
      </c>
      <c r="G86" s="68">
        <f>(E85*$C$10)/POWER(1+$C$19,A86)</f>
        <v/>
      </c>
    </row>
    <row r="87">
      <c r="A87" t="n">
        <v>64</v>
      </c>
      <c r="B87" t="inlineStr">
        <is>
          <t>Year 64</t>
        </is>
      </c>
      <c r="C87" s="68">
        <f>E86*($C$3)</f>
        <v/>
      </c>
      <c r="D87" s="68">
        <f>E86*$C$10 +$C$11+10*$C$12+$C$13*20+$C$14*E86+#REF!*C87</f>
        <v/>
      </c>
      <c r="E87" s="68">
        <f>E86+C87-D87</f>
        <v/>
      </c>
      <c r="F87" s="68">
        <f>E87/POWER(1+$C$19,A87)</f>
        <v/>
      </c>
      <c r="G87" s="68">
        <f>(E86*$C$10)/POWER(1+$C$19,A87)</f>
        <v/>
      </c>
    </row>
    <row r="88">
      <c r="A88" t="n">
        <v>65</v>
      </c>
      <c r="B88" t="inlineStr">
        <is>
          <t>Year 65</t>
        </is>
      </c>
      <c r="C88" s="68">
        <f>E87*($C$3)</f>
        <v/>
      </c>
      <c r="D88" s="68">
        <f>E87*$C$10 +$C$11+10*$C$12+$C$13*20+$C$14*E87+#REF!*C88</f>
        <v/>
      </c>
      <c r="E88" s="68">
        <f>E87+C88-D88</f>
        <v/>
      </c>
      <c r="F88" s="68">
        <f>E88/POWER(1+$C$19,A88)</f>
        <v/>
      </c>
      <c r="G88" s="68">
        <f>(E87*$C$10)/POWER(1+$C$19,A88)</f>
        <v/>
      </c>
    </row>
    <row r="89">
      <c r="A89" t="n">
        <v>66</v>
      </c>
      <c r="B89" t="inlineStr">
        <is>
          <t>Year 66</t>
        </is>
      </c>
      <c r="C89" s="68">
        <f>E88*($C$3)</f>
        <v/>
      </c>
      <c r="D89" s="68">
        <f>E88*$C$10 +$C$11+10*$C$12+$C$13*20+$C$14*E88+#REF!*C89</f>
        <v/>
      </c>
      <c r="E89" s="68">
        <f>E88+C89-D89</f>
        <v/>
      </c>
      <c r="F89" s="68">
        <f>E89/POWER(1+$C$19,A89)</f>
        <v/>
      </c>
      <c r="G89" s="68">
        <f>(E88*$C$10)/POWER(1+$C$19,A89)</f>
        <v/>
      </c>
    </row>
    <row r="90">
      <c r="A90" t="n">
        <v>67</v>
      </c>
      <c r="B90" t="inlineStr">
        <is>
          <t>Year 67</t>
        </is>
      </c>
      <c r="C90" s="68">
        <f>E89*($C$3)</f>
        <v/>
      </c>
      <c r="D90" s="68">
        <f>E89*$C$10 +$C$11+10*$C$12+$C$13*20+$C$14*E89+#REF!*C90</f>
        <v/>
      </c>
      <c r="E90" s="68">
        <f>E89+C90-D90</f>
        <v/>
      </c>
      <c r="F90" s="68">
        <f>E90/POWER(1+$C$19,A90)</f>
        <v/>
      </c>
      <c r="G90" s="68">
        <f>(E89*$C$10)/POWER(1+$C$19,A90)</f>
        <v/>
      </c>
    </row>
    <row r="91">
      <c r="A91" t="n">
        <v>68</v>
      </c>
      <c r="B91" t="inlineStr">
        <is>
          <t>Year 68</t>
        </is>
      </c>
      <c r="C91" s="68">
        <f>E90*($C$3)</f>
        <v/>
      </c>
      <c r="D91" s="68">
        <f>E90*$C$10 +$C$11+10*$C$12+$C$13*20+$C$14*E90+#REF!*C91</f>
        <v/>
      </c>
      <c r="E91" s="68">
        <f>E90+C91-D91</f>
        <v/>
      </c>
      <c r="F91" s="68">
        <f>E91/POWER(1+$C$19,A91)</f>
        <v/>
      </c>
      <c r="G91" s="68">
        <f>(E90*$C$10)/POWER(1+$C$19,A91)</f>
        <v/>
      </c>
    </row>
    <row r="92">
      <c r="A92" t="n">
        <v>69</v>
      </c>
      <c r="B92" t="inlineStr">
        <is>
          <t>Year 69</t>
        </is>
      </c>
      <c r="C92" s="68">
        <f>E91*($C$3)</f>
        <v/>
      </c>
      <c r="D92" s="68">
        <f>E91*$C$10 +$C$11+10*$C$12+$C$13*20+$C$14*E91+#REF!*C92</f>
        <v/>
      </c>
      <c r="E92" s="68">
        <f>E91+C92-D92</f>
        <v/>
      </c>
      <c r="F92" s="68">
        <f>E92/POWER(1+$C$19,A92)</f>
        <v/>
      </c>
      <c r="G92" s="68">
        <f>(E91*$C$10)/POWER(1+$C$19,A92)</f>
        <v/>
      </c>
    </row>
    <row r="93">
      <c r="A93" t="n">
        <v>70</v>
      </c>
      <c r="B93" t="inlineStr">
        <is>
          <t>Year 70</t>
        </is>
      </c>
      <c r="C93" s="68">
        <f>E92*($C$3)</f>
        <v/>
      </c>
      <c r="D93" s="68">
        <f>E92*$C$10 +$C$11+10*$C$12+$C$13*20+$C$14*E92+#REF!*C93</f>
        <v/>
      </c>
      <c r="E93" s="68">
        <f>E92+C93-D93</f>
        <v/>
      </c>
      <c r="F93" s="68">
        <f>E93/POWER(1+$C$19,A93)</f>
        <v/>
      </c>
      <c r="G93" s="68">
        <f>(E92*$C$10)/POWER(1+$C$19,A93)</f>
        <v/>
      </c>
    </row>
    <row r="94">
      <c r="A94" t="n">
        <v>71</v>
      </c>
      <c r="B94" t="inlineStr">
        <is>
          <t>Year 71</t>
        </is>
      </c>
      <c r="C94" s="68">
        <f>E93*($C$3)</f>
        <v/>
      </c>
      <c r="D94" s="68">
        <f>E93*$C$10 +$C$11+10*$C$12+$C$13*20+$C$14*E93+#REF!*C94</f>
        <v/>
      </c>
      <c r="E94" s="68">
        <f>E93+C94-D94</f>
        <v/>
      </c>
      <c r="F94" s="68">
        <f>E94/POWER(1+$C$19,A94)</f>
        <v/>
      </c>
      <c r="G94" s="68">
        <f>(E93*$C$10)/POWER(1+$C$19,A94)</f>
        <v/>
      </c>
    </row>
    <row r="95">
      <c r="A95" t="n">
        <v>72</v>
      </c>
      <c r="B95" t="inlineStr">
        <is>
          <t>Year 72</t>
        </is>
      </c>
      <c r="C95" s="68">
        <f>E94*($C$3)</f>
        <v/>
      </c>
      <c r="D95" s="68">
        <f>E94*$C$10 +$C$11+10*$C$12+$C$13*20+$C$14*E94+#REF!*C95</f>
        <v/>
      </c>
      <c r="E95" s="68">
        <f>E94+C95-D95</f>
        <v/>
      </c>
      <c r="F95" s="68">
        <f>E95/POWER(1+$C$19,A95)</f>
        <v/>
      </c>
      <c r="G95" s="68">
        <f>(E94*$C$10)/POWER(1+$C$19,A95)</f>
        <v/>
      </c>
    </row>
    <row r="96">
      <c r="A96" t="n">
        <v>73</v>
      </c>
      <c r="B96" t="inlineStr">
        <is>
          <t>Year 73</t>
        </is>
      </c>
      <c r="C96" s="68">
        <f>E95*($C$3)</f>
        <v/>
      </c>
      <c r="D96" s="68">
        <f>E95*$C$10 +$C$11+10*$C$12+$C$13*20+$C$14*E95+#REF!*C96</f>
        <v/>
      </c>
      <c r="E96" s="68">
        <f>E95+C96-D96</f>
        <v/>
      </c>
      <c r="F96" s="68">
        <f>E96/POWER(1+$C$19,A96)</f>
        <v/>
      </c>
      <c r="G96" s="68">
        <f>(E95*$C$10)/POWER(1+$C$19,A96)</f>
        <v/>
      </c>
    </row>
    <row r="97">
      <c r="A97" t="n">
        <v>74</v>
      </c>
      <c r="B97" t="inlineStr">
        <is>
          <t>Year 74</t>
        </is>
      </c>
      <c r="C97" s="68">
        <f>E96*($C$3)</f>
        <v/>
      </c>
      <c r="D97" s="68">
        <f>E96*$C$10 +$C$11+10*$C$12+$C$13*20+$C$14*E96+#REF!*C97</f>
        <v/>
      </c>
      <c r="E97" s="68">
        <f>E96+C97-D97</f>
        <v/>
      </c>
      <c r="F97" s="68">
        <f>E97/POWER(1+$C$19,A97)</f>
        <v/>
      </c>
      <c r="G97" s="68">
        <f>(E96*$C$10)/POWER(1+$C$19,A97)</f>
        <v/>
      </c>
    </row>
    <row r="98">
      <c r="A98" t="n">
        <v>75</v>
      </c>
      <c r="B98" t="inlineStr">
        <is>
          <t>Year 75</t>
        </is>
      </c>
      <c r="C98" s="68">
        <f>E97*($C$3)</f>
        <v/>
      </c>
      <c r="D98" s="68">
        <f>E97*$C$10 +$C$11+10*$C$12+$C$13*20+$C$14*E97+#REF!*C98</f>
        <v/>
      </c>
      <c r="E98" s="68">
        <f>E97+C98-D98</f>
        <v/>
      </c>
      <c r="F98" s="68">
        <f>E98/POWER(1+$C$19,A98)</f>
        <v/>
      </c>
      <c r="G98" s="68">
        <f>(E97*$C$10)/POWER(1+$C$19,A98)</f>
        <v/>
      </c>
    </row>
    <row r="99">
      <c r="A99" t="n">
        <v>76</v>
      </c>
      <c r="B99" t="inlineStr">
        <is>
          <t>Year 76</t>
        </is>
      </c>
      <c r="C99" s="68">
        <f>E98*($C$3)</f>
        <v/>
      </c>
      <c r="D99" s="68">
        <f>E98*$C$10 +$C$11+10*$C$12+$C$13*20+$C$14*E98+#REF!*C99</f>
        <v/>
      </c>
      <c r="E99" s="68">
        <f>E98+C99-D99</f>
        <v/>
      </c>
      <c r="F99" s="68">
        <f>E99/POWER(1+$C$19,A99)</f>
        <v/>
      </c>
      <c r="G99" s="68">
        <f>(E98*$C$10)/POWER(1+$C$19,A99)</f>
        <v/>
      </c>
    </row>
    <row r="100">
      <c r="A100" t="n">
        <v>77</v>
      </c>
      <c r="B100" t="inlineStr">
        <is>
          <t>Year 77</t>
        </is>
      </c>
      <c r="C100" s="68">
        <f>E99*($C$3)</f>
        <v/>
      </c>
      <c r="D100" s="68">
        <f>E99*$C$10 +$C$11+10*$C$12+$C$13*20+$C$14*E99+#REF!*C100</f>
        <v/>
      </c>
      <c r="E100" s="68">
        <f>E99+C100-D100</f>
        <v/>
      </c>
      <c r="F100" s="68">
        <f>E100/POWER(1+$C$19,A100)</f>
        <v/>
      </c>
      <c r="G100" s="68">
        <f>(E99*$C$10)/POWER(1+$C$19,A100)</f>
        <v/>
      </c>
    </row>
    <row r="101">
      <c r="A101" t="n">
        <v>78</v>
      </c>
      <c r="B101" t="inlineStr">
        <is>
          <t>Year 78</t>
        </is>
      </c>
      <c r="C101" s="68">
        <f>E100*($C$3)</f>
        <v/>
      </c>
      <c r="D101" s="68">
        <f>E100*$C$10 +$C$11+10*$C$12+$C$13*20+$C$14*E100+#REF!*C101</f>
        <v/>
      </c>
      <c r="E101" s="68">
        <f>E100+C101-D101</f>
        <v/>
      </c>
      <c r="F101" s="68">
        <f>E101/POWER(1+$C$19,A101)</f>
        <v/>
      </c>
      <c r="G101" s="68">
        <f>(E100*$C$10)/POWER(1+$C$19,A101)</f>
        <v/>
      </c>
    </row>
    <row r="102">
      <c r="A102" t="n">
        <v>79</v>
      </c>
      <c r="B102" t="inlineStr">
        <is>
          <t>Year 79</t>
        </is>
      </c>
      <c r="C102" s="68">
        <f>E101*($C$3)</f>
        <v/>
      </c>
      <c r="D102" s="68">
        <f>E101*$C$10 +$C$11+10*$C$12+$C$13*20+$C$14*E101+#REF!*C102</f>
        <v/>
      </c>
      <c r="E102" s="68">
        <f>E101+C102-D102</f>
        <v/>
      </c>
      <c r="F102" s="68">
        <f>E102/POWER(1+$C$19,A102)</f>
        <v/>
      </c>
      <c r="G102" s="68">
        <f>(E101*$C$10)/POWER(1+$C$19,A102)</f>
        <v/>
      </c>
    </row>
    <row r="103">
      <c r="A103" t="n">
        <v>80</v>
      </c>
      <c r="B103" t="inlineStr">
        <is>
          <t>Year 80</t>
        </is>
      </c>
      <c r="C103" s="68">
        <f>E102*($C$3)</f>
        <v/>
      </c>
      <c r="D103" s="68">
        <f>E102*$C$10 +$C$11+10*$C$12+$C$13*20+$C$14*E102+#REF!*C103</f>
        <v/>
      </c>
      <c r="E103" s="68">
        <f>E102+C103-D103</f>
        <v/>
      </c>
      <c r="F103" s="68">
        <f>E103/POWER(1+$C$19,A103)</f>
        <v/>
      </c>
      <c r="G103" s="68">
        <f>(E102*$C$10)/POWER(1+$C$19,A103)</f>
        <v/>
      </c>
    </row>
    <row r="104">
      <c r="A104" t="n">
        <v>81</v>
      </c>
      <c r="B104" t="inlineStr">
        <is>
          <t>Year 81</t>
        </is>
      </c>
      <c r="C104" s="68">
        <f>E103*($C$3)</f>
        <v/>
      </c>
      <c r="D104" s="68">
        <f>E103*$C$10 +$C$11+10*$C$12+$C$13*20+$C$14*E103+#REF!*C104</f>
        <v/>
      </c>
      <c r="E104" s="68">
        <f>E103+C104-D104</f>
        <v/>
      </c>
      <c r="F104" s="68">
        <f>E104/POWER(1+$C$19,A104)</f>
        <v/>
      </c>
      <c r="G104" s="68">
        <f>(E103*$C$10)/POWER(1+$C$19,A104)</f>
        <v/>
      </c>
    </row>
    <row r="105">
      <c r="A105" t="n">
        <v>82</v>
      </c>
      <c r="B105" t="inlineStr">
        <is>
          <t>Year 82</t>
        </is>
      </c>
      <c r="C105" s="68">
        <f>E104*($C$3)</f>
        <v/>
      </c>
      <c r="D105" s="68">
        <f>E104*$C$10 +$C$11+10*$C$12+$C$13*20+$C$14*E104+#REF!*C105</f>
        <v/>
      </c>
      <c r="E105" s="68">
        <f>E104+C105-D105</f>
        <v/>
      </c>
      <c r="F105" s="68">
        <f>E105/POWER(1+$C$19,A105)</f>
        <v/>
      </c>
      <c r="G105" s="68">
        <f>(E104*$C$10)/POWER(1+$C$19,A105)</f>
        <v/>
      </c>
    </row>
    <row r="106">
      <c r="A106" t="n">
        <v>83</v>
      </c>
      <c r="B106" t="inlineStr">
        <is>
          <t>Year 83</t>
        </is>
      </c>
      <c r="C106" s="68">
        <f>E105*($C$3)</f>
        <v/>
      </c>
      <c r="D106" s="68">
        <f>E105*$C$10 +$C$11+10*$C$12+$C$13*20+$C$14*E105+#REF!*C106</f>
        <v/>
      </c>
      <c r="E106" s="68">
        <f>E105+C106-D106</f>
        <v/>
      </c>
      <c r="F106" s="68">
        <f>E106/POWER(1+$C$19,A106)</f>
        <v/>
      </c>
      <c r="G106" s="68">
        <f>(E105*$C$10)/POWER(1+$C$19,A106)</f>
        <v/>
      </c>
    </row>
    <row r="107">
      <c r="A107" t="n">
        <v>84</v>
      </c>
      <c r="B107" t="inlineStr">
        <is>
          <t>Year 84</t>
        </is>
      </c>
      <c r="C107" s="68">
        <f>E106*($C$3)</f>
        <v/>
      </c>
      <c r="D107" s="68">
        <f>E106*$C$10 +$C$11+10*$C$12+$C$13*20+$C$14*E106+#REF!*C107</f>
        <v/>
      </c>
      <c r="E107" s="68">
        <f>E106+C107-D107</f>
        <v/>
      </c>
      <c r="F107" s="68">
        <f>E107/POWER(1+$C$19,A107)</f>
        <v/>
      </c>
      <c r="G107" s="68">
        <f>(E106*$C$10)/POWER(1+$C$19,A107)</f>
        <v/>
      </c>
    </row>
    <row r="108">
      <c r="A108" t="n">
        <v>85</v>
      </c>
      <c r="B108" t="inlineStr">
        <is>
          <t>Year 85</t>
        </is>
      </c>
      <c r="C108" s="68">
        <f>E107*($C$3)</f>
        <v/>
      </c>
      <c r="D108" s="68">
        <f>E107*$C$10 +$C$11+10*$C$12+$C$13*20+$C$14*E107+#REF!*C108</f>
        <v/>
      </c>
      <c r="E108" s="68">
        <f>E107+C108-D108</f>
        <v/>
      </c>
      <c r="F108" s="68">
        <f>E108/POWER(1+$C$19,A108)</f>
        <v/>
      </c>
      <c r="G108" s="68">
        <f>(E107*$C$10)/POWER(1+$C$19,A108)</f>
        <v/>
      </c>
    </row>
    <row r="109">
      <c r="A109" t="n">
        <v>86</v>
      </c>
      <c r="B109" t="inlineStr">
        <is>
          <t>Year 86</t>
        </is>
      </c>
      <c r="C109" s="68">
        <f>E108*($C$3)</f>
        <v/>
      </c>
      <c r="D109" s="68">
        <f>E108*$C$10 +$C$11+10*$C$12+$C$13*20+$C$14*E108+#REF!*C109</f>
        <v/>
      </c>
      <c r="E109" s="68">
        <f>E108+C109-D109</f>
        <v/>
      </c>
      <c r="F109" s="68">
        <f>E109/POWER(1+$C$19,A109)</f>
        <v/>
      </c>
      <c r="G109" s="68">
        <f>(E108*$C$10)/POWER(1+$C$19,A109)</f>
        <v/>
      </c>
    </row>
    <row r="110">
      <c r="A110" t="n">
        <v>87</v>
      </c>
      <c r="B110" t="inlineStr">
        <is>
          <t>Year 87</t>
        </is>
      </c>
      <c r="C110" s="68">
        <f>E109*($C$3)</f>
        <v/>
      </c>
      <c r="D110" s="68">
        <f>E109*$C$10 +$C$11+10*$C$12+$C$13*20+$C$14*E109+#REF!*C110</f>
        <v/>
      </c>
      <c r="E110" s="68">
        <f>E109+C110-D110</f>
        <v/>
      </c>
      <c r="F110" s="68">
        <f>E110/POWER(1+$C$19,A110)</f>
        <v/>
      </c>
      <c r="G110" s="68">
        <f>(E109*$C$10)/POWER(1+$C$19,A110)</f>
        <v/>
      </c>
    </row>
    <row r="111">
      <c r="A111" t="n">
        <v>88</v>
      </c>
      <c r="B111" t="inlineStr">
        <is>
          <t>Year 88</t>
        </is>
      </c>
      <c r="C111" s="68">
        <f>E110*($C$3)</f>
        <v/>
      </c>
      <c r="D111" s="68">
        <f>E110*$C$10 +$C$11+10*$C$12+$C$13*20+$C$14*E110+#REF!*C111</f>
        <v/>
      </c>
      <c r="E111" s="68">
        <f>E110+C111-D111</f>
        <v/>
      </c>
      <c r="F111" s="68">
        <f>E111/POWER(1+$C$19,A111)</f>
        <v/>
      </c>
      <c r="G111" s="68">
        <f>(E110*$C$10)/POWER(1+$C$19,A111)</f>
        <v/>
      </c>
    </row>
    <row r="112">
      <c r="A112" t="n">
        <v>89</v>
      </c>
      <c r="B112" t="inlineStr">
        <is>
          <t>Year 89</t>
        </is>
      </c>
      <c r="C112" s="68">
        <f>E111*($C$3)</f>
        <v/>
      </c>
      <c r="D112" s="68">
        <f>E111*$C$10 +$C$11+10*$C$12+$C$13*20+$C$14*E111+#REF!*C112</f>
        <v/>
      </c>
      <c r="E112" s="68">
        <f>E111+C112-D112</f>
        <v/>
      </c>
      <c r="F112" s="68">
        <f>E112/POWER(1+$C$19,A112)</f>
        <v/>
      </c>
      <c r="G112" s="68">
        <f>(E111*$C$10)/POWER(1+$C$19,A112)</f>
        <v/>
      </c>
    </row>
    <row r="113">
      <c r="A113" t="n">
        <v>90</v>
      </c>
      <c r="B113" t="inlineStr">
        <is>
          <t>Year 90</t>
        </is>
      </c>
      <c r="C113" s="68">
        <f>E112*($C$3)</f>
        <v/>
      </c>
      <c r="D113" s="68">
        <f>E112*$C$10 +$C$11+10*$C$12+$C$13*20+$C$14*E112+#REF!*C113</f>
        <v/>
      </c>
      <c r="E113" s="68">
        <f>E112+C113-D113</f>
        <v/>
      </c>
      <c r="F113" s="68">
        <f>E113/POWER(1+$C$19,A113)</f>
        <v/>
      </c>
      <c r="G113" s="68">
        <f>(E112*$C$10)/POWER(1+$C$19,A113)</f>
        <v/>
      </c>
    </row>
    <row r="114">
      <c r="A114" t="n">
        <v>91</v>
      </c>
      <c r="B114" t="inlineStr">
        <is>
          <t>Year 91</t>
        </is>
      </c>
      <c r="C114" s="68">
        <f>E113*($C$3)</f>
        <v/>
      </c>
      <c r="D114" s="68">
        <f>E113*$C$10 +$C$11+10*$C$12+$C$13*20+$C$14*E113+#REF!*C114</f>
        <v/>
      </c>
      <c r="E114" s="68">
        <f>E113+C114-D114</f>
        <v/>
      </c>
      <c r="F114" s="68">
        <f>E114/POWER(1+$C$19,A114)</f>
        <v/>
      </c>
      <c r="G114" s="68">
        <f>(E113*$C$10)/POWER(1+$C$19,A114)</f>
        <v/>
      </c>
    </row>
    <row r="115">
      <c r="A115" t="n">
        <v>92</v>
      </c>
      <c r="B115" t="inlineStr">
        <is>
          <t>Year 92</t>
        </is>
      </c>
      <c r="C115" s="68">
        <f>E114*($C$3)</f>
        <v/>
      </c>
      <c r="D115" s="68">
        <f>E114*$C$10 +$C$11+10*$C$12+$C$13*20+$C$14*E114+#REF!*C115</f>
        <v/>
      </c>
      <c r="E115" s="68">
        <f>E114+C115-D115</f>
        <v/>
      </c>
      <c r="F115" s="68">
        <f>E115/POWER(1+$C$19,A115)</f>
        <v/>
      </c>
      <c r="G115" s="68">
        <f>(E114*$C$10)/POWER(1+$C$19,A115)</f>
        <v/>
      </c>
    </row>
    <row r="116">
      <c r="A116" t="n">
        <v>93</v>
      </c>
      <c r="B116" t="inlineStr">
        <is>
          <t>Year 93</t>
        </is>
      </c>
      <c r="C116" s="68">
        <f>E115*($C$3)</f>
        <v/>
      </c>
      <c r="D116" s="68">
        <f>E115*$C$10 +$C$11+10*$C$12+$C$13*20+$C$14*E115+#REF!*C116</f>
        <v/>
      </c>
      <c r="E116" s="68">
        <f>E115+C116-D116</f>
        <v/>
      </c>
      <c r="F116" s="68">
        <f>E116/POWER(1+$C$19,A116)</f>
        <v/>
      </c>
      <c r="G116" s="68">
        <f>(E115*$C$10)/POWER(1+$C$19,A116)</f>
        <v/>
      </c>
    </row>
    <row r="117">
      <c r="A117" t="n">
        <v>94</v>
      </c>
      <c r="B117" t="inlineStr">
        <is>
          <t>Year 94</t>
        </is>
      </c>
      <c r="C117" s="68">
        <f>E116*($C$3)</f>
        <v/>
      </c>
      <c r="D117" s="68">
        <f>E116*$C$10 +$C$11+10*$C$12+$C$13*20+$C$14*E116+#REF!*C117</f>
        <v/>
      </c>
      <c r="E117" s="68">
        <f>E116+C117-D117</f>
        <v/>
      </c>
      <c r="F117" s="68">
        <f>E117/POWER(1+$C$19,A117)</f>
        <v/>
      </c>
      <c r="G117" s="68">
        <f>(E116*$C$10)/POWER(1+$C$19,A117)</f>
        <v/>
      </c>
    </row>
    <row r="118">
      <c r="A118" t="n">
        <v>95</v>
      </c>
      <c r="B118" t="inlineStr">
        <is>
          <t>Year 95</t>
        </is>
      </c>
      <c r="C118" s="68">
        <f>E117*($C$3)</f>
        <v/>
      </c>
      <c r="D118" s="68">
        <f>E117*$C$10 +$C$11+10*$C$12+$C$13*20+$C$14*E117+#REF!*C118</f>
        <v/>
      </c>
      <c r="E118" s="68">
        <f>E117+C118-D118</f>
        <v/>
      </c>
      <c r="F118" s="68">
        <f>E118/POWER(1+$C$19,A118)</f>
        <v/>
      </c>
      <c r="G118" s="68">
        <f>(E117*$C$10)/POWER(1+$C$19,A118)</f>
        <v/>
      </c>
    </row>
    <row r="119">
      <c r="A119" t="n">
        <v>96</v>
      </c>
      <c r="B119" t="inlineStr">
        <is>
          <t>Year 96</t>
        </is>
      </c>
      <c r="C119" s="68">
        <f>E118*($C$3)</f>
        <v/>
      </c>
      <c r="D119" s="68">
        <f>E118*$C$10 +$C$11+10*$C$12+$C$13*20+$C$14*E118+#REF!*C119</f>
        <v/>
      </c>
      <c r="E119" s="68">
        <f>E118+C119-D119</f>
        <v/>
      </c>
      <c r="F119" s="68">
        <f>E119/POWER(1+$C$19,A119)</f>
        <v/>
      </c>
      <c r="G119" s="68">
        <f>(E118*$C$10)/POWER(1+$C$19,A119)</f>
        <v/>
      </c>
    </row>
    <row r="120">
      <c r="A120" t="n">
        <v>97</v>
      </c>
      <c r="B120" t="inlineStr">
        <is>
          <t>Year 97</t>
        </is>
      </c>
      <c r="C120" s="68">
        <f>E119*($C$3)</f>
        <v/>
      </c>
      <c r="D120" s="68">
        <f>E119*$C$10 +$C$11+10*$C$12+$C$13*20+$C$14*E119+#REF!*C120</f>
        <v/>
      </c>
      <c r="E120" s="68">
        <f>E119+C120-D120</f>
        <v/>
      </c>
      <c r="F120" s="68">
        <f>E120/POWER(1+$C$19,A120)</f>
        <v/>
      </c>
      <c r="G120" s="68">
        <f>(E119*$C$10)/POWER(1+$C$19,A120)</f>
        <v/>
      </c>
    </row>
    <row r="121">
      <c r="A121" t="n">
        <v>98</v>
      </c>
      <c r="B121" t="inlineStr">
        <is>
          <t>Year 98</t>
        </is>
      </c>
      <c r="C121" s="68">
        <f>E120*($C$3)</f>
        <v/>
      </c>
      <c r="D121" s="68">
        <f>E120*$C$10 +$C$11+10*$C$12+$C$13*20+$C$14*E120+#REF!*C121</f>
        <v/>
      </c>
      <c r="E121" s="68">
        <f>E120+C121-D121</f>
        <v/>
      </c>
      <c r="F121" s="68">
        <f>E121/POWER(1+$C$19,A121)</f>
        <v/>
      </c>
      <c r="G121" s="68">
        <f>(E120*$C$10)/POWER(1+$C$19,A121)</f>
        <v/>
      </c>
    </row>
    <row r="122">
      <c r="A122" t="n">
        <v>99</v>
      </c>
      <c r="B122" t="inlineStr">
        <is>
          <t>Year 99</t>
        </is>
      </c>
      <c r="C122" s="68">
        <f>E121*($C$3)</f>
        <v/>
      </c>
      <c r="D122" s="68">
        <f>E121*$C$10 +$C$11+10*$C$12+$C$13*20+$C$14*E121+#REF!*C122</f>
        <v/>
      </c>
      <c r="E122" s="68">
        <f>E121+C122-D122</f>
        <v/>
      </c>
      <c r="F122" s="68">
        <f>E122/POWER(1+$C$19,A122)</f>
        <v/>
      </c>
      <c r="G122" s="68">
        <f>(E121*$C$10)/POWER(1+$C$19,A122)</f>
        <v/>
      </c>
    </row>
    <row r="123">
      <c r="A123" t="n">
        <v>100</v>
      </c>
      <c r="B123" t="inlineStr">
        <is>
          <t>Year 100</t>
        </is>
      </c>
      <c r="C123" s="68">
        <f>E122*($C$3)</f>
        <v/>
      </c>
      <c r="D123" s="68">
        <f>E122*$C$10 +$C$11+10*$C$12+$C$13*20+$C$14*E122+#REF!*C123</f>
        <v/>
      </c>
      <c r="E123" s="68">
        <f>E122+C123-D123</f>
        <v/>
      </c>
      <c r="F123" s="68">
        <f>E123/POWER(1+$C$19,A123)</f>
        <v/>
      </c>
      <c r="G123" s="68">
        <f>(E122*$C$10)/POWER(1+$C$19,A123)</f>
        <v/>
      </c>
    </row>
  </sheetData>
  <pageMargins left="0.75" right="0.75" top="1" bottom="1" header="0.5" footer="0.5"/>
  <pageSetup orientation="portrait" horizontalDpi="4294967292" verticalDpi="4294967292"/>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75"/>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Q32"/>
  <sheetViews>
    <sheetView zoomScale="85" zoomScaleNormal="85" workbookViewId="0">
      <pane xSplit="3" ySplit="10" topLeftCell="D11" activePane="bottomRight" state="frozen"/>
      <selection pane="topRight" activeCell="D1" sqref="D1"/>
      <selection pane="bottomLeft" activeCell="A9" sqref="A9"/>
      <selection pane="bottomRight" activeCell="H17" sqref="H17:H18"/>
    </sheetView>
  </sheetViews>
  <sheetFormatPr baseColWidth="8" defaultRowHeight="15.75"/>
  <cols>
    <col width="7" customWidth="1" style="57" min="2" max="2"/>
    <col width="41.125" customWidth="1" style="57" min="3" max="3"/>
    <col width="11.125" bestFit="1" customWidth="1" style="57" min="4" max="4"/>
    <col width="11.25" bestFit="1" customWidth="1" style="57" min="5" max="6"/>
    <col width="14" customWidth="1" style="57" min="7" max="7"/>
    <col width="11.25" bestFit="1" customWidth="1" style="57" min="8" max="8"/>
    <col width="14.625" customWidth="1" style="57" min="9" max="9"/>
    <col width="16" customWidth="1" style="57" min="10" max="10"/>
    <col width="17.625" customWidth="1" style="57" min="11" max="11"/>
    <col width="11.25" bestFit="1" customWidth="1" style="57" min="12" max="13"/>
    <col width="9.125" bestFit="1" customWidth="1" style="57" min="14" max="16"/>
    <col width="9.125" bestFit="1" customWidth="1" style="57" min="17" max="17"/>
    <col width="9.125" bestFit="1" customWidth="1" style="57" min="18" max="22"/>
    <col width="10.125" bestFit="1" customWidth="1" style="57" min="23" max="43"/>
  </cols>
  <sheetData>
    <row r="1" ht="27.75" customHeight="1" s="57">
      <c r="G1" s="55" t="inlineStr">
        <is>
          <t>USD million</t>
        </is>
      </c>
      <c r="H1" s="55" t="n"/>
      <c r="I1" s="55" t="inlineStr">
        <is>
          <t>DT revenue size</t>
        </is>
      </c>
      <c r="J1" s="55" t="inlineStr">
        <is>
          <t>Endowment Size</t>
        </is>
      </c>
      <c r="K1" s="55" t="inlineStr">
        <is>
          <t xml:space="preserve">Grant per year as of </t>
        </is>
      </c>
    </row>
    <row r="2">
      <c r="C2" t="inlineStr">
        <is>
          <t>start (in million USD, 30 USD/1 BHT)</t>
        </is>
      </c>
      <c r="D2" s="38">
        <f>30000</f>
        <v/>
      </c>
      <c r="E2" t="inlineStr">
        <is>
          <t>equivalent to 10000 MB</t>
        </is>
      </c>
      <c r="G2" s="53" t="inlineStr">
        <is>
          <t>End of Phase 1</t>
        </is>
      </c>
      <c r="H2" s="53" t="inlineStr">
        <is>
          <t xml:space="preserve">Year 2020 </t>
        </is>
      </c>
      <c r="I2" s="73">
        <f>J16</f>
        <v/>
      </c>
      <c r="J2" s="73">
        <f>J27</f>
        <v/>
      </c>
      <c r="K2" s="73">
        <f>-J23</f>
        <v/>
      </c>
    </row>
    <row r="3">
      <c r="C3" t="inlineStr">
        <is>
          <t>business growth</t>
        </is>
      </c>
      <c r="D3" s="37" t="n">
        <v>0.05</v>
      </c>
      <c r="G3" s="53" t="inlineStr">
        <is>
          <t>End of Phase 2</t>
        </is>
      </c>
      <c r="H3" s="53" t="inlineStr">
        <is>
          <t xml:space="preserve">Year 2030 </t>
        </is>
      </c>
      <c r="I3" s="73">
        <f>T16</f>
        <v/>
      </c>
      <c r="J3" s="73">
        <f>T27</f>
        <v/>
      </c>
      <c r="K3" s="73">
        <f>-T23</f>
        <v/>
      </c>
    </row>
    <row r="4" hidden="1" s="57">
      <c r="C4" t="inlineStr">
        <is>
          <t xml:space="preserve">Inflation </t>
        </is>
      </c>
      <c r="D4" s="3" t="n">
        <v>0.03</v>
      </c>
      <c r="G4" s="53" t="n"/>
      <c r="H4" s="53" t="inlineStr">
        <is>
          <t>Year 2040</t>
        </is>
      </c>
      <c r="I4" s="73">
        <f>AD16</f>
        <v/>
      </c>
      <c r="J4" s="73">
        <f>AD27</f>
        <v/>
      </c>
      <c r="K4" s="73">
        <f>-AD23</f>
        <v/>
      </c>
    </row>
    <row r="5">
      <c r="D5" s="3" t="n"/>
      <c r="G5" s="53" t="inlineStr">
        <is>
          <t>End of Phase 3</t>
        </is>
      </c>
      <c r="H5" s="53" t="inlineStr">
        <is>
          <t>Year 2053</t>
        </is>
      </c>
      <c r="I5" s="73">
        <f>AQ16</f>
        <v/>
      </c>
      <c r="J5" s="73">
        <f>AQ27</f>
        <v/>
      </c>
      <c r="K5" s="73">
        <f>-AQ23</f>
        <v/>
      </c>
    </row>
    <row r="6">
      <c r="D6" s="3" t="n"/>
    </row>
    <row r="7">
      <c r="D7">
        <f>IF(D9&lt;2021,"Phase 1")</f>
        <v/>
      </c>
      <c r="E7">
        <f>IF(E9&lt;2021,"Phase 1")</f>
        <v/>
      </c>
      <c r="F7">
        <f>IF(F9&lt;2021,"Phase 1")</f>
        <v/>
      </c>
      <c r="G7">
        <f>IF(G9&lt;2021,"Phase 1")</f>
        <v/>
      </c>
      <c r="H7">
        <f>IF(H9&lt;2021,"Phase 1")</f>
        <v/>
      </c>
      <c r="I7">
        <f>IF(I9&lt;2021,"Phase 1")</f>
        <v/>
      </c>
      <c r="J7">
        <f>IF(J9&gt;2019,"Phase 2")</f>
        <v/>
      </c>
      <c r="K7">
        <f>IF(K9&gt;2019,"Phase 2")</f>
        <v/>
      </c>
      <c r="L7">
        <f>IF(L9&gt;2019,"Phase 2")</f>
        <v/>
      </c>
      <c r="M7">
        <f>IF(M9&gt;2019,"Phase 2")</f>
        <v/>
      </c>
      <c r="N7">
        <f>IF(N9&gt;2019,"Phase 2")</f>
        <v/>
      </c>
      <c r="O7">
        <f>IF(O9&gt;2019,"Phase 2")</f>
        <v/>
      </c>
      <c r="P7">
        <f>IF(P9&gt;2019,"Phase 2")</f>
        <v/>
      </c>
      <c r="Q7">
        <f>IF(Q9&gt;2019,"Phase 2")</f>
        <v/>
      </c>
      <c r="R7">
        <f>IF(R9&gt;2019,"Phase 2")</f>
        <v/>
      </c>
      <c r="S7">
        <f>IF(S9&gt;2019,"Phase 2")</f>
        <v/>
      </c>
      <c r="T7">
        <f>IF(T9&gt;2029,"Phase 3")</f>
        <v/>
      </c>
      <c r="U7">
        <f>IF(U9&gt;2029,"Phase 3")</f>
        <v/>
      </c>
      <c r="V7">
        <f>IF(V9&gt;2029,"Phase 3")</f>
        <v/>
      </c>
      <c r="W7">
        <f>IF(W9&gt;2029,"Phase 3")</f>
        <v/>
      </c>
      <c r="X7">
        <f>IF(X9&gt;2029,"Phase 3")</f>
        <v/>
      </c>
      <c r="Y7">
        <f>IF(Y9&gt;2029,"Phase 3")</f>
        <v/>
      </c>
      <c r="Z7">
        <f>IF(Z9&gt;2029,"Phase 3")</f>
        <v/>
      </c>
      <c r="AA7">
        <f>IF(AA9&gt;2029,"Phase 3")</f>
        <v/>
      </c>
      <c r="AB7">
        <f>IF(AB9&gt;2029,"Phase 3")</f>
        <v/>
      </c>
      <c r="AC7">
        <f>IF(AC9&gt;2029,"Phase 3")</f>
        <v/>
      </c>
      <c r="AD7">
        <f>IF(AD9&gt;2029,"Phase 3")</f>
        <v/>
      </c>
      <c r="AE7">
        <f>IF(AE9&gt;2029,"Phase 3")</f>
        <v/>
      </c>
      <c r="AF7">
        <f>IF(AF9&gt;2029,"Phase 3")</f>
        <v/>
      </c>
      <c r="AG7">
        <f>IF(AG9&gt;2029,"Phase 3")</f>
        <v/>
      </c>
      <c r="AH7">
        <f>IF(AH9&gt;2029,"Phase 3")</f>
        <v/>
      </c>
      <c r="AI7">
        <f>IF(AI9&gt;2029,"Phase 3")</f>
        <v/>
      </c>
      <c r="AJ7">
        <f>IF(AJ9&gt;2029,"Phase 3")</f>
        <v/>
      </c>
      <c r="AK7">
        <f>IF(AK9&gt;2029,"Phase 3")</f>
        <v/>
      </c>
      <c r="AL7">
        <f>IF(AL9&gt;2029,"Phase 3")</f>
        <v/>
      </c>
      <c r="AM7">
        <f>IF(AM9&gt;2029,"Phase 3")</f>
        <v/>
      </c>
      <c r="AN7">
        <f>IF(AN9&gt;2029,"Phase 3")</f>
        <v/>
      </c>
      <c r="AO7">
        <f>IF(AO9&gt;2029,"Phase 3")</f>
        <v/>
      </c>
      <c r="AP7">
        <f>IF(AP9&gt;2029,"Phase 3")</f>
        <v/>
      </c>
      <c r="AQ7">
        <f>IF(AQ9&gt;2029,"Phase 3")</f>
        <v/>
      </c>
    </row>
    <row r="8" hidden="1" s="57">
      <c r="D8" t="n">
        <v>1</v>
      </c>
      <c r="E8" t="n">
        <v>2</v>
      </c>
      <c r="F8" t="n">
        <v>3</v>
      </c>
      <c r="G8" t="n">
        <v>4</v>
      </c>
      <c r="H8" t="n">
        <v>5</v>
      </c>
      <c r="I8" t="n">
        <v>6</v>
      </c>
      <c r="J8" t="n">
        <v>7</v>
      </c>
      <c r="K8" t="n">
        <v>8</v>
      </c>
      <c r="L8" t="n">
        <v>9</v>
      </c>
      <c r="M8" t="n">
        <v>10</v>
      </c>
      <c r="N8" t="n">
        <v>11</v>
      </c>
      <c r="O8" t="n">
        <v>12</v>
      </c>
      <c r="P8" t="n">
        <v>13</v>
      </c>
      <c r="Q8" t="n">
        <v>14</v>
      </c>
      <c r="R8" t="n">
        <v>15</v>
      </c>
      <c r="S8" t="n">
        <v>16</v>
      </c>
      <c r="T8" t="n">
        <v>17</v>
      </c>
      <c r="U8" t="n">
        <v>18</v>
      </c>
      <c r="V8" t="n">
        <v>19</v>
      </c>
      <c r="W8" t="n">
        <v>20</v>
      </c>
      <c r="X8" t="n">
        <v>21</v>
      </c>
      <c r="Y8" t="n">
        <v>22</v>
      </c>
      <c r="Z8" t="n">
        <v>23</v>
      </c>
      <c r="AA8" t="n">
        <v>24</v>
      </c>
      <c r="AB8" t="n">
        <v>25</v>
      </c>
      <c r="AC8" t="n">
        <v>26</v>
      </c>
      <c r="AD8" t="n">
        <v>27</v>
      </c>
      <c r="AE8" t="n">
        <v>28</v>
      </c>
      <c r="AF8" t="n">
        <v>29</v>
      </c>
      <c r="AG8" t="n">
        <v>30</v>
      </c>
      <c r="AH8" t="n">
        <v>31</v>
      </c>
      <c r="AI8" t="n">
        <v>32</v>
      </c>
      <c r="AJ8" t="n">
        <v>33</v>
      </c>
      <c r="AK8" t="n">
        <v>34</v>
      </c>
      <c r="AL8" t="n">
        <v>35</v>
      </c>
      <c r="AM8" t="n">
        <v>36</v>
      </c>
      <c r="AN8" t="n">
        <v>37</v>
      </c>
      <c r="AO8" t="n">
        <v>38</v>
      </c>
      <c r="AP8" t="n">
        <v>39</v>
      </c>
      <c r="AQ8" t="n">
        <v>40</v>
      </c>
    </row>
    <row r="9">
      <c r="D9" t="n">
        <v>2014</v>
      </c>
      <c r="E9">
        <f>D9+1</f>
        <v/>
      </c>
      <c r="F9">
        <f>E9+1</f>
        <v/>
      </c>
      <c r="G9">
        <f>F9+1</f>
        <v/>
      </c>
      <c r="H9">
        <f>G9+1</f>
        <v/>
      </c>
      <c r="I9">
        <f>H9+1</f>
        <v/>
      </c>
      <c r="J9">
        <f>I9+1</f>
        <v/>
      </c>
      <c r="K9">
        <f>J9+1</f>
        <v/>
      </c>
      <c r="L9">
        <f>K9+1</f>
        <v/>
      </c>
      <c r="M9">
        <f>L9+1</f>
        <v/>
      </c>
      <c r="N9">
        <f>M9+1</f>
        <v/>
      </c>
      <c r="O9">
        <f>N9+1</f>
        <v/>
      </c>
      <c r="P9">
        <f>O9+1</f>
        <v/>
      </c>
      <c r="Q9">
        <f>P9+1</f>
        <v/>
      </c>
      <c r="R9">
        <f>Q9+1</f>
        <v/>
      </c>
      <c r="S9">
        <f>R9+1</f>
        <v/>
      </c>
      <c r="T9">
        <f>S9+1</f>
        <v/>
      </c>
      <c r="U9">
        <f>T9+1</f>
        <v/>
      </c>
      <c r="V9">
        <f>U9+1</f>
        <v/>
      </c>
      <c r="W9">
        <f>V9+1</f>
        <v/>
      </c>
      <c r="X9">
        <f>W9+1</f>
        <v/>
      </c>
      <c r="Y9">
        <f>X9+1</f>
        <v/>
      </c>
      <c r="Z9">
        <f>Y9+1</f>
        <v/>
      </c>
      <c r="AA9">
        <f>Z9+1</f>
        <v/>
      </c>
      <c r="AB9">
        <f>AA9+1</f>
        <v/>
      </c>
      <c r="AC9">
        <f>AB9+1</f>
        <v/>
      </c>
      <c r="AD9">
        <f>AC9+1</f>
        <v/>
      </c>
      <c r="AE9">
        <f>AD9+1</f>
        <v/>
      </c>
      <c r="AF9">
        <f>AE9+1</f>
        <v/>
      </c>
      <c r="AG9">
        <f>AF9+1</f>
        <v/>
      </c>
      <c r="AH9">
        <f>AG9+1</f>
        <v/>
      </c>
      <c r="AI9">
        <f>AH9+1</f>
        <v/>
      </c>
      <c r="AJ9">
        <f>AI9+1</f>
        <v/>
      </c>
      <c r="AK9">
        <f>AJ9+1</f>
        <v/>
      </c>
      <c r="AL9">
        <f>AK9+1</f>
        <v/>
      </c>
      <c r="AM9">
        <f>AL9+1</f>
        <v/>
      </c>
      <c r="AN9">
        <f>AM9+1</f>
        <v/>
      </c>
      <c r="AO9">
        <f>AN9+1</f>
        <v/>
      </c>
      <c r="AP9">
        <f>AO9+1</f>
        <v/>
      </c>
      <c r="AQ9">
        <f>AP9+1</f>
        <v/>
      </c>
    </row>
    <row r="10">
      <c r="D10" t="inlineStr">
        <is>
          <t>year 1</t>
        </is>
      </c>
      <c r="E10" t="inlineStr">
        <is>
          <t>year 2</t>
        </is>
      </c>
      <c r="F10" t="inlineStr">
        <is>
          <t>year 3</t>
        </is>
      </c>
      <c r="G10" t="inlineStr">
        <is>
          <t>year 4</t>
        </is>
      </c>
      <c r="H10" t="inlineStr">
        <is>
          <t>year 5</t>
        </is>
      </c>
      <c r="I10" t="inlineStr">
        <is>
          <t>year 6</t>
        </is>
      </c>
      <c r="J10" t="inlineStr">
        <is>
          <t>year 7</t>
        </is>
      </c>
      <c r="K10" t="inlineStr">
        <is>
          <t>year 8</t>
        </is>
      </c>
      <c r="L10" t="inlineStr">
        <is>
          <t>year 9</t>
        </is>
      </c>
      <c r="M10" t="inlineStr">
        <is>
          <t>year 10</t>
        </is>
      </c>
      <c r="N10" t="inlineStr">
        <is>
          <t>year 11</t>
        </is>
      </c>
      <c r="O10" t="inlineStr">
        <is>
          <t>year 12</t>
        </is>
      </c>
      <c r="P10" t="inlineStr">
        <is>
          <t>year 13</t>
        </is>
      </c>
      <c r="Q10" t="inlineStr">
        <is>
          <t>year 14</t>
        </is>
      </c>
      <c r="R10" t="inlineStr">
        <is>
          <t>year 15</t>
        </is>
      </c>
      <c r="S10" t="inlineStr">
        <is>
          <t>year 16</t>
        </is>
      </c>
      <c r="T10" t="inlineStr">
        <is>
          <t>year 17</t>
        </is>
      </c>
      <c r="U10" t="inlineStr">
        <is>
          <t>year 18</t>
        </is>
      </c>
      <c r="V10" t="inlineStr">
        <is>
          <t>year 19</t>
        </is>
      </c>
      <c r="W10" t="inlineStr">
        <is>
          <t>year 20</t>
        </is>
      </c>
      <c r="X10" t="inlineStr">
        <is>
          <t>year 21</t>
        </is>
      </c>
      <c r="Y10" t="inlineStr">
        <is>
          <t>year 22</t>
        </is>
      </c>
      <c r="Z10" t="inlineStr">
        <is>
          <t>year 23</t>
        </is>
      </c>
      <c r="AA10" t="inlineStr">
        <is>
          <t>year 24</t>
        </is>
      </c>
      <c r="AB10" t="inlineStr">
        <is>
          <t>year 25</t>
        </is>
      </c>
      <c r="AC10" t="inlineStr">
        <is>
          <t>year 26</t>
        </is>
      </c>
      <c r="AD10" t="inlineStr">
        <is>
          <t>year 27</t>
        </is>
      </c>
      <c r="AE10" t="inlineStr">
        <is>
          <t>year 28</t>
        </is>
      </c>
      <c r="AF10" t="inlineStr">
        <is>
          <t>year 29</t>
        </is>
      </c>
      <c r="AG10" t="inlineStr">
        <is>
          <t>year 30</t>
        </is>
      </c>
      <c r="AH10" t="inlineStr">
        <is>
          <t>year 31</t>
        </is>
      </c>
      <c r="AI10" t="inlineStr">
        <is>
          <t>year 32</t>
        </is>
      </c>
      <c r="AJ10" t="inlineStr">
        <is>
          <t>year 33</t>
        </is>
      </c>
      <c r="AK10" t="inlineStr">
        <is>
          <t>year 34</t>
        </is>
      </c>
      <c r="AL10" t="inlineStr">
        <is>
          <t>year 35</t>
        </is>
      </c>
      <c r="AM10" t="inlineStr">
        <is>
          <t>year 36</t>
        </is>
      </c>
      <c r="AN10" t="inlineStr">
        <is>
          <t>year 37</t>
        </is>
      </c>
      <c r="AO10" t="inlineStr">
        <is>
          <t>year 38</t>
        </is>
      </c>
      <c r="AP10" t="inlineStr">
        <is>
          <t>year 39</t>
        </is>
      </c>
      <c r="AQ10" t="inlineStr">
        <is>
          <t>year 40</t>
        </is>
      </c>
    </row>
    <row r="11"/>
    <row r="12">
      <c r="C12" t="inlineStr">
        <is>
          <t>Revenue base</t>
        </is>
      </c>
      <c r="D12" s="68" t="n">
        <v>40</v>
      </c>
      <c r="E12" s="68" t="n">
        <v>1691</v>
      </c>
      <c r="F12" s="68" t="n">
        <v>9071</v>
      </c>
      <c r="G12" s="68" t="n">
        <v>30000</v>
      </c>
      <c r="H12" s="68" t="n">
        <v>5870</v>
      </c>
      <c r="I12" s="68">
        <f>H16</f>
        <v/>
      </c>
      <c r="J12" s="68">
        <f>I16</f>
        <v/>
      </c>
      <c r="K12" s="68">
        <f>J16</f>
        <v/>
      </c>
      <c r="L12" s="68">
        <f>K16</f>
        <v/>
      </c>
      <c r="M12" s="68">
        <f>L16</f>
        <v/>
      </c>
      <c r="N12" s="68">
        <f>M16</f>
        <v/>
      </c>
      <c r="O12" s="68">
        <f>N16</f>
        <v/>
      </c>
      <c r="P12" s="68">
        <f>O16</f>
        <v/>
      </c>
      <c r="Q12" s="68">
        <f>P16</f>
        <v/>
      </c>
      <c r="R12" s="68">
        <f>Q16</f>
        <v/>
      </c>
      <c r="S12" s="68">
        <f>R16</f>
        <v/>
      </c>
      <c r="T12" s="68">
        <f>S16</f>
        <v/>
      </c>
      <c r="U12" s="68">
        <f>T16</f>
        <v/>
      </c>
      <c r="V12" s="68">
        <f>U16</f>
        <v/>
      </c>
      <c r="W12" s="68">
        <f>V16</f>
        <v/>
      </c>
      <c r="X12" s="68">
        <f>W16</f>
        <v/>
      </c>
      <c r="Y12" s="68">
        <f>X16</f>
        <v/>
      </c>
      <c r="Z12" s="68">
        <f>Y16</f>
        <v/>
      </c>
      <c r="AA12" s="68">
        <f>Z16</f>
        <v/>
      </c>
      <c r="AB12" s="68">
        <f>AA16</f>
        <v/>
      </c>
      <c r="AC12" s="68">
        <f>AB16</f>
        <v/>
      </c>
      <c r="AD12" s="68">
        <f>AC16</f>
        <v/>
      </c>
      <c r="AE12" s="68">
        <f>AD16</f>
        <v/>
      </c>
      <c r="AF12" s="68">
        <f>AE16</f>
        <v/>
      </c>
      <c r="AG12" s="68">
        <f>AF16</f>
        <v/>
      </c>
      <c r="AH12" s="68">
        <f>AG16</f>
        <v/>
      </c>
      <c r="AI12" s="68">
        <f>AH16</f>
        <v/>
      </c>
      <c r="AJ12" s="68">
        <f>AI16</f>
        <v/>
      </c>
      <c r="AK12" s="68">
        <f>AJ16</f>
        <v/>
      </c>
      <c r="AL12" s="68">
        <f>AK16</f>
        <v/>
      </c>
      <c r="AM12" s="68">
        <f>AL16</f>
        <v/>
      </c>
      <c r="AN12" s="68">
        <f>AM16</f>
        <v/>
      </c>
      <c r="AO12" s="68">
        <f>AN16</f>
        <v/>
      </c>
      <c r="AP12" s="68">
        <f>AO16</f>
        <v/>
      </c>
      <c r="AQ12" s="68">
        <f>AP16</f>
        <v/>
      </c>
    </row>
    <row r="13">
      <c r="C13" t="inlineStr">
        <is>
          <t>Revenue growth</t>
        </is>
      </c>
      <c r="D13" s="68">
        <f>D12*$D$3</f>
        <v/>
      </c>
      <c r="E13" s="68">
        <f>E12*$D$3</f>
        <v/>
      </c>
      <c r="F13" s="68">
        <f>F12*$D$3</f>
        <v/>
      </c>
      <c r="G13" s="68">
        <f>G12*$D$3</f>
        <v/>
      </c>
      <c r="H13" s="68">
        <f>H12*$D$3</f>
        <v/>
      </c>
      <c r="I13" s="68">
        <f>I12*$D$3</f>
        <v/>
      </c>
      <c r="J13" s="68">
        <f>J12*$D$3</f>
        <v/>
      </c>
      <c r="K13" s="68">
        <f>K12*$D$3</f>
        <v/>
      </c>
      <c r="L13" s="68">
        <f>L12*$D$3</f>
        <v/>
      </c>
      <c r="M13" s="68">
        <f>M12*$D$3</f>
        <v/>
      </c>
      <c r="N13" s="68">
        <f>N12*$D$3</f>
        <v/>
      </c>
      <c r="O13" s="68">
        <f>O12*$D$3</f>
        <v/>
      </c>
      <c r="P13" s="68">
        <f>P12*$D$3</f>
        <v/>
      </c>
      <c r="Q13" s="68">
        <f>Q12*$D$3</f>
        <v/>
      </c>
      <c r="R13" s="68">
        <f>R12*$D$3</f>
        <v/>
      </c>
      <c r="S13" s="68">
        <f>S12*$D$3</f>
        <v/>
      </c>
      <c r="T13" s="68">
        <f>T12*$D$3</f>
        <v/>
      </c>
      <c r="U13" s="68">
        <f>U12*$D$3</f>
        <v/>
      </c>
      <c r="V13" s="68">
        <f>V12*$D$3</f>
        <v/>
      </c>
      <c r="W13" s="68">
        <f>W12*$D$3</f>
        <v/>
      </c>
      <c r="X13" s="68">
        <f>X12*$D$3</f>
        <v/>
      </c>
      <c r="Y13" s="68">
        <f>Y12*$D$3</f>
        <v/>
      </c>
      <c r="Z13" s="68">
        <f>Z12*$D$3</f>
        <v/>
      </c>
      <c r="AA13" s="68">
        <f>AA12*$D$3</f>
        <v/>
      </c>
      <c r="AB13" s="68">
        <f>AB12*$D$3</f>
        <v/>
      </c>
      <c r="AC13" s="68">
        <f>AC12*$D$3</f>
        <v/>
      </c>
      <c r="AD13" s="68">
        <f>AD12*$D$3</f>
        <v/>
      </c>
      <c r="AE13" s="68">
        <f>AE12*$D$3</f>
        <v/>
      </c>
      <c r="AF13" s="68">
        <f>AF12*$D$3</f>
        <v/>
      </c>
      <c r="AG13" s="68">
        <f>AG12*$D$3</f>
        <v/>
      </c>
      <c r="AH13" s="68">
        <f>AH12*$D$3</f>
        <v/>
      </c>
      <c r="AI13" s="68">
        <f>AI12*$D$3</f>
        <v/>
      </c>
      <c r="AJ13" s="68">
        <f>AJ12*$D$3</f>
        <v/>
      </c>
      <c r="AK13" s="68">
        <f>AK12*$D$3</f>
        <v/>
      </c>
      <c r="AL13" s="68">
        <f>AL12*$D$3</f>
        <v/>
      </c>
      <c r="AM13" s="68">
        <f>AM12*$D$3</f>
        <v/>
      </c>
      <c r="AN13" s="68">
        <f>AN12*$D$3</f>
        <v/>
      </c>
      <c r="AO13" s="68">
        <f>AO12*$D$3</f>
        <v/>
      </c>
      <c r="AP13" s="68">
        <f>AP12*$D$3</f>
        <v/>
      </c>
      <c r="AQ13" s="68">
        <f>AQ12*$D$3</f>
        <v/>
      </c>
    </row>
    <row r="14">
      <c r="C14" t="inlineStr">
        <is>
          <t xml:space="preserve"> inflation </t>
        </is>
      </c>
      <c r="D14" s="68">
        <f>D12*$D$4</f>
        <v/>
      </c>
      <c r="E14" s="70">
        <f>E12*$D$4</f>
        <v/>
      </c>
      <c r="F14" s="68">
        <f>F12*$D$4</f>
        <v/>
      </c>
      <c r="G14" s="68">
        <f>G12*$D$4</f>
        <v/>
      </c>
      <c r="H14" s="68">
        <f>H12*$D$4</f>
        <v/>
      </c>
      <c r="I14" s="68">
        <f>I12*$D$4</f>
        <v/>
      </c>
      <c r="J14" s="68">
        <f>J12*$D$4</f>
        <v/>
      </c>
      <c r="K14" s="68">
        <f>K12*$D$4</f>
        <v/>
      </c>
      <c r="L14" s="68">
        <f>L12*$D$4</f>
        <v/>
      </c>
      <c r="M14" s="68">
        <f>M12*$D$4</f>
        <v/>
      </c>
      <c r="N14" s="68">
        <f>N12*$D$4</f>
        <v/>
      </c>
      <c r="O14" s="68">
        <f>O12*$D$4</f>
        <v/>
      </c>
      <c r="P14" s="68">
        <f>P12*$D$4</f>
        <v/>
      </c>
      <c r="Q14" s="68">
        <f>Q12*$D$4</f>
        <v/>
      </c>
      <c r="R14" s="68">
        <f>R12*$D$4</f>
        <v/>
      </c>
      <c r="S14" s="68">
        <f>S12*$D$4</f>
        <v/>
      </c>
      <c r="T14" s="68">
        <f>T12*$D$4</f>
        <v/>
      </c>
      <c r="U14" s="68">
        <f>U12*$D$4</f>
        <v/>
      </c>
      <c r="V14" s="68">
        <f>V12*$D$4</f>
        <v/>
      </c>
      <c r="W14" s="68">
        <f>W12*$D$4</f>
        <v/>
      </c>
      <c r="X14" s="68">
        <f>X12*$D$4</f>
        <v/>
      </c>
      <c r="Y14" s="68">
        <f>Y12*$D$4</f>
        <v/>
      </c>
      <c r="Z14" s="68">
        <f>Z12*$D$4</f>
        <v/>
      </c>
      <c r="AA14" s="68">
        <f>AA12*$D$4</f>
        <v/>
      </c>
      <c r="AB14" s="68">
        <f>AB12*$D$4</f>
        <v/>
      </c>
      <c r="AC14" s="68">
        <f>AC12*$D$4</f>
        <v/>
      </c>
      <c r="AD14" s="68">
        <f>AD12*$D$4</f>
        <v/>
      </c>
      <c r="AE14" s="68">
        <f>AE12*$D$4</f>
        <v/>
      </c>
      <c r="AF14" s="68">
        <f>AF12*$D$4</f>
        <v/>
      </c>
      <c r="AG14" s="68">
        <f>AG12*$D$4</f>
        <v/>
      </c>
      <c r="AH14" s="68">
        <f>AH12*$D$4</f>
        <v/>
      </c>
      <c r="AI14" s="68">
        <f>AI12*$D$4</f>
        <v/>
      </c>
      <c r="AJ14" s="68">
        <f>AJ12*$D$4</f>
        <v/>
      </c>
      <c r="AK14" s="68">
        <f>AK12*$D$4</f>
        <v/>
      </c>
      <c r="AL14" s="68">
        <f>AL12*$D$4</f>
        <v/>
      </c>
      <c r="AM14" s="68">
        <f>AM12*$D$4</f>
        <v/>
      </c>
      <c r="AN14" s="68">
        <f>AN12*$D$4</f>
        <v/>
      </c>
      <c r="AO14" s="68">
        <f>AO12*$D$4</f>
        <v/>
      </c>
      <c r="AP14" s="68">
        <f>AP12*$D$4</f>
        <v/>
      </c>
      <c r="AQ14" s="68">
        <f>AQ12*$D$4</f>
        <v/>
      </c>
    </row>
    <row r="15" ht="16.5" customHeight="1" s="57" thickBot="1">
      <c r="D15" s="68" t="n"/>
      <c r="E15" s="68" t="n"/>
      <c r="F15" s="68" t="n"/>
      <c r="G15" s="68" t="n"/>
      <c r="H15" s="68" t="n"/>
      <c r="I15" s="68" t="n"/>
      <c r="J15" s="68" t="n"/>
      <c r="K15" s="68" t="n"/>
      <c r="L15" s="68" t="n"/>
      <c r="M15" s="68" t="n"/>
    </row>
    <row r="16" ht="16.5" customHeight="1" s="57" thickBot="1">
      <c r="C16" t="inlineStr">
        <is>
          <t>Total Family Foundation Revenue</t>
        </is>
      </c>
      <c r="D16" s="68">
        <f>SUM(D12:D14)</f>
        <v/>
      </c>
      <c r="E16" s="68">
        <f>SUM(E12:E14)</f>
        <v/>
      </c>
      <c r="F16" s="68">
        <f>SUM(F12:F14)</f>
        <v/>
      </c>
      <c r="G16" s="74">
        <f>SUM(G12:G14)</f>
        <v/>
      </c>
      <c r="H16" s="68">
        <f>SUM(H12:H14)</f>
        <v/>
      </c>
      <c r="I16" s="68">
        <f>SUM(I12:I14)</f>
        <v/>
      </c>
      <c r="J16" s="68">
        <f>SUM(J12:J14)</f>
        <v/>
      </c>
      <c r="K16" s="68">
        <f>SUM(K12:K14)</f>
        <v/>
      </c>
      <c r="L16" s="68">
        <f>SUM(L12:L14)</f>
        <v/>
      </c>
      <c r="M16" s="68">
        <f>SUM(M12:M14)</f>
        <v/>
      </c>
      <c r="N16" s="68">
        <f>SUM(N12:N14)</f>
        <v/>
      </c>
      <c r="O16" s="68">
        <f>SUM(O12:O14)</f>
        <v/>
      </c>
      <c r="P16" s="74">
        <f>SUM(P12:P14)</f>
        <v/>
      </c>
      <c r="Q16" s="74">
        <f>SUM(Q12:Q14)</f>
        <v/>
      </c>
      <c r="R16" s="68">
        <f>SUM(R12:R14)</f>
        <v/>
      </c>
      <c r="S16" s="68">
        <f>SUM(S12:S14)</f>
        <v/>
      </c>
      <c r="T16" s="68">
        <f>SUM(T12:T14)</f>
        <v/>
      </c>
      <c r="U16" s="68">
        <f>SUM(U12:U14)</f>
        <v/>
      </c>
      <c r="V16" s="68">
        <f>SUM(V12:V14)</f>
        <v/>
      </c>
      <c r="W16" s="68">
        <f>SUM(W12:W14)</f>
        <v/>
      </c>
      <c r="X16" s="68">
        <f>SUM(X12:X14)</f>
        <v/>
      </c>
      <c r="Y16" s="68">
        <f>SUM(Y12:Y14)</f>
        <v/>
      </c>
      <c r="Z16" s="68">
        <f>SUM(Z12:Z14)</f>
        <v/>
      </c>
      <c r="AA16" s="68">
        <f>SUM(AA12:AA14)</f>
        <v/>
      </c>
      <c r="AB16" s="68">
        <f>SUM(AB12:AB14)</f>
        <v/>
      </c>
      <c r="AC16" s="68">
        <f>SUM(AC12:AC14)</f>
        <v/>
      </c>
      <c r="AD16" s="68">
        <f>SUM(AD12:AD14)</f>
        <v/>
      </c>
      <c r="AE16" s="68">
        <f>SUM(AE12:AE14)</f>
        <v/>
      </c>
      <c r="AF16" s="68">
        <f>SUM(AF12:AF14)</f>
        <v/>
      </c>
      <c r="AG16" s="68">
        <f>SUM(AG12:AG14)</f>
        <v/>
      </c>
      <c r="AH16" s="68">
        <f>SUM(AH12:AH14)</f>
        <v/>
      </c>
      <c r="AI16" s="68">
        <f>SUM(AI12:AI14)</f>
        <v/>
      </c>
      <c r="AJ16" s="68">
        <f>SUM(AJ12:AJ14)</f>
        <v/>
      </c>
      <c r="AK16" s="68">
        <f>SUM(AK12:AK14)</f>
        <v/>
      </c>
      <c r="AL16" s="68">
        <f>SUM(AL12:AL14)</f>
        <v/>
      </c>
      <c r="AM16" s="68">
        <f>SUM(AM12:AM14)</f>
        <v/>
      </c>
      <c r="AN16" s="68">
        <f>SUM(AN12:AN14)</f>
        <v/>
      </c>
      <c r="AO16" s="68">
        <f>SUM(AO12:AO14)</f>
        <v/>
      </c>
      <c r="AP16" s="68">
        <f>SUM(AP12:AP14)</f>
        <v/>
      </c>
      <c r="AQ16" s="75">
        <f>SUM(AQ12:AQ14)</f>
        <v/>
      </c>
    </row>
    <row r="17">
      <c r="C17" t="inlineStr">
        <is>
          <t>NPV of revenue</t>
        </is>
      </c>
      <c r="D17" s="47">
        <f>D16/POWER(1+$D$4,D8)</f>
        <v/>
      </c>
      <c r="E17" s="47">
        <f>E16/POWER(1+$D$4,E8)</f>
        <v/>
      </c>
      <c r="F17" s="47">
        <f>F16/POWER(1+$D$4,F8)</f>
        <v/>
      </c>
      <c r="G17" s="47">
        <f>G16/POWER(1+$D$4,G8)</f>
        <v/>
      </c>
      <c r="H17" s="47">
        <f>H16/POWER(1+$D$4,H8)</f>
        <v/>
      </c>
      <c r="I17" s="47">
        <f>I16/POWER(1+$D$4,I8)</f>
        <v/>
      </c>
      <c r="J17" s="47">
        <f>J16/POWER(1+$D$4,J8)</f>
        <v/>
      </c>
      <c r="K17" s="47">
        <f>K16/POWER(1+$D$4,K8)</f>
        <v/>
      </c>
      <c r="L17" s="47">
        <f>L16/POWER(1+$D$4,L8)</f>
        <v/>
      </c>
      <c r="M17" s="47">
        <f>M16/POWER(1+$D$4,M8)</f>
        <v/>
      </c>
      <c r="N17" s="47">
        <f>N16/POWER(1+$D$4,N8)</f>
        <v/>
      </c>
      <c r="O17" s="47">
        <f>O16/POWER(1+$D$4,O8)</f>
        <v/>
      </c>
      <c r="P17" s="47">
        <f>P16/POWER(1+$D$4,P8)</f>
        <v/>
      </c>
      <c r="Q17" s="47">
        <f>Q16/POWER(1+$D$4,Q8)</f>
        <v/>
      </c>
      <c r="R17" s="47">
        <f>R16/POWER(1+$D$4,R8)</f>
        <v/>
      </c>
      <c r="S17" s="47">
        <f>S16/POWER(1+$D$4,S8)</f>
        <v/>
      </c>
      <c r="T17" s="47">
        <f>T16/POWER(1+$D$4,T8)</f>
        <v/>
      </c>
      <c r="U17" s="47">
        <f>U16/POWER(1+$D$4,U8)</f>
        <v/>
      </c>
      <c r="V17" s="47">
        <f>V16/POWER(1+$D$4,V8)</f>
        <v/>
      </c>
      <c r="W17" s="47">
        <f>W16/POWER(1+$D$4,W8)</f>
        <v/>
      </c>
      <c r="X17" s="47">
        <f>X16/POWER(1+$D$4,X8)</f>
        <v/>
      </c>
      <c r="Y17" s="47">
        <f>Y16/POWER(1+$D$4,Y8)</f>
        <v/>
      </c>
      <c r="Z17" s="47">
        <f>Z16/POWER(1+$D$4,Z8)</f>
        <v/>
      </c>
      <c r="AA17" s="47">
        <f>AA16/POWER(1+$D$4,AA8)</f>
        <v/>
      </c>
      <c r="AB17" s="47">
        <f>AB16/POWER(1+$D$4,AB8)</f>
        <v/>
      </c>
      <c r="AC17" s="47">
        <f>AC16/POWER(1+$D$4,AC8)</f>
        <v/>
      </c>
      <c r="AD17" s="47">
        <f>AD16/POWER(1+$D$4,AD8)</f>
        <v/>
      </c>
      <c r="AE17" s="47">
        <f>AE16/POWER(1+$D$4,AE8)</f>
        <v/>
      </c>
      <c r="AF17" s="47">
        <f>AF16/POWER(1+$D$4,AF8)</f>
        <v/>
      </c>
      <c r="AG17" s="47">
        <f>AG16/POWER(1+$D$4,AG8)</f>
        <v/>
      </c>
      <c r="AH17" s="47">
        <f>AH16/POWER(1+$D$4,AH8)</f>
        <v/>
      </c>
      <c r="AI17" s="47">
        <f>AI16/POWER(1+$D$4,AI8)</f>
        <v/>
      </c>
      <c r="AJ17" s="47">
        <f>AJ16/POWER(1+$D$4,AJ8)</f>
        <v/>
      </c>
      <c r="AK17" s="47">
        <f>AK16/POWER(1+$D$4,AK8)</f>
        <v/>
      </c>
      <c r="AL17" s="47">
        <f>AL16/POWER(1+$D$4,AL8)</f>
        <v/>
      </c>
      <c r="AM17" s="47">
        <f>AM16/POWER(1+$D$4,AM8)</f>
        <v/>
      </c>
      <c r="AN17" s="47">
        <f>AN16/POWER(1+$D$4,AN8)</f>
        <v/>
      </c>
      <c r="AO17" s="47">
        <f>AO16/POWER(1+$D$4,AO8)</f>
        <v/>
      </c>
      <c r="AP17" s="47">
        <f>AP16/POWER(1+$D$4,AP8)</f>
        <v/>
      </c>
      <c r="AQ17" s="39">
        <f>AQ16/POWER(1+$D$4,AQ8)</f>
        <v/>
      </c>
    </row>
    <row r="18">
      <c r="C18" t="inlineStr">
        <is>
          <t>EM (x growth)</t>
        </is>
      </c>
      <c r="E18" s="48">
        <f>E17/$D$17</f>
        <v/>
      </c>
      <c r="F18" s="48">
        <f>F17/$D$17</f>
        <v/>
      </c>
      <c r="G18" s="48">
        <f>G17/$D$17</f>
        <v/>
      </c>
      <c r="H18" s="48">
        <f>H17/$D$17</f>
        <v/>
      </c>
      <c r="I18" s="48">
        <f>I17/$D$17</f>
        <v/>
      </c>
      <c r="J18" s="48">
        <f>J17/$D$17</f>
        <v/>
      </c>
      <c r="K18" s="48">
        <f>K17/$D$17</f>
        <v/>
      </c>
      <c r="L18" s="48">
        <f>L17/$D$17</f>
        <v/>
      </c>
      <c r="M18" s="48">
        <f>M17/$D$17</f>
        <v/>
      </c>
      <c r="N18" s="48">
        <f>N17/$D$17</f>
        <v/>
      </c>
      <c r="O18" s="48">
        <f>O17/$D$17</f>
        <v/>
      </c>
      <c r="P18" s="48">
        <f>P17/$D$17</f>
        <v/>
      </c>
      <c r="Q18" s="48">
        <f>Q17/$D$17</f>
        <v/>
      </c>
      <c r="R18" s="48">
        <f>R17/$D$17</f>
        <v/>
      </c>
      <c r="S18" s="48">
        <f>S17/$D$17</f>
        <v/>
      </c>
      <c r="T18" s="48">
        <f>T17/$D$17</f>
        <v/>
      </c>
      <c r="U18" s="48">
        <f>U17/$D$17</f>
        <v/>
      </c>
      <c r="V18" s="48">
        <f>V17/$D$17</f>
        <v/>
      </c>
      <c r="W18" s="48">
        <f>W17/$D$17</f>
        <v/>
      </c>
      <c r="X18" s="48">
        <f>X17/$D$17</f>
        <v/>
      </c>
      <c r="Y18" s="48">
        <f>Y17/$D$17</f>
        <v/>
      </c>
      <c r="Z18" s="48">
        <f>Z17/$D$17</f>
        <v/>
      </c>
      <c r="AA18" s="48">
        <f>AA17/$D$17</f>
        <v/>
      </c>
      <c r="AB18" s="48">
        <f>AB17/$D$17</f>
        <v/>
      </c>
      <c r="AC18" s="48">
        <f>AC17/$D$17</f>
        <v/>
      </c>
      <c r="AD18" s="48">
        <f>AD17/$D$17</f>
        <v/>
      </c>
      <c r="AE18" s="48">
        <f>AE17/$D$17</f>
        <v/>
      </c>
      <c r="AF18" s="48">
        <f>AF17/$D$17</f>
        <v/>
      </c>
      <c r="AG18" s="48">
        <f>AG17/$D$17</f>
        <v/>
      </c>
      <c r="AH18" s="48">
        <f>AH17/$D$17</f>
        <v/>
      </c>
      <c r="AI18" s="48">
        <f>AI17/$D$17</f>
        <v/>
      </c>
      <c r="AJ18" s="48">
        <f>AJ17/$D$17</f>
        <v/>
      </c>
      <c r="AK18" s="48">
        <f>AK17/$D$17</f>
        <v/>
      </c>
      <c r="AL18" s="48">
        <f>AL17/$D$17</f>
        <v/>
      </c>
      <c r="AM18" s="48">
        <f>AM17/$D$17</f>
        <v/>
      </c>
      <c r="AN18" s="48">
        <f>AN17/$D$17</f>
        <v/>
      </c>
      <c r="AO18" s="48">
        <f>AO17/$D$17</f>
        <v/>
      </c>
      <c r="AP18" s="48">
        <f>AP17/$D$17</f>
        <v/>
      </c>
      <c r="AQ18" s="48">
        <f>AQ17/$D$17</f>
        <v/>
      </c>
    </row>
    <row r="19">
      <c r="M19" s="50" t="n"/>
      <c r="N19" s="50" t="n"/>
      <c r="O19" s="50" t="n"/>
      <c r="P19" s="50" t="n"/>
      <c r="Q19" s="50" t="n"/>
      <c r="R19" s="50" t="n"/>
      <c r="S19" s="50" t="n"/>
      <c r="T19" s="50" t="n"/>
      <c r="U19" s="50" t="n"/>
      <c r="V19" s="50" t="n"/>
      <c r="W19" s="50" t="n"/>
      <c r="X19" s="50" t="n"/>
      <c r="Y19" s="50" t="n"/>
      <c r="Z19" s="50" t="n"/>
      <c r="AA19" s="50" t="n"/>
      <c r="AB19" s="50" t="n"/>
      <c r="AC19" s="50" t="n"/>
      <c r="AD19" s="50" t="n"/>
      <c r="AE19" s="50" t="n"/>
      <c r="AF19" s="50" t="n"/>
      <c r="AG19" s="50" t="n"/>
      <c r="AH19" s="50" t="n"/>
      <c r="AI19" s="50" t="n"/>
      <c r="AJ19" s="50" t="n"/>
      <c r="AK19" s="50" t="n"/>
      <c r="AL19" s="50" t="n"/>
      <c r="AM19" s="50" t="n"/>
      <c r="AN19" s="50" t="n"/>
      <c r="AO19" s="50" t="n"/>
      <c r="AP19" s="50" t="n"/>
      <c r="AQ19" s="50">
        <f>AVERAGE(D18:AQ18)</f>
        <v/>
      </c>
    </row>
    <row r="20">
      <c r="C20" t="inlineStr">
        <is>
          <t>Endowment beginning balance</t>
        </is>
      </c>
      <c r="D20" t="n">
        <v>0</v>
      </c>
      <c r="E20" s="65">
        <f>D27</f>
        <v/>
      </c>
      <c r="F20" s="65">
        <f>E27</f>
        <v/>
      </c>
      <c r="G20" s="65">
        <f>F27</f>
        <v/>
      </c>
      <c r="H20" s="65">
        <f>G27</f>
        <v/>
      </c>
      <c r="I20" s="65">
        <f>H27</f>
        <v/>
      </c>
      <c r="J20" s="65">
        <f>I27</f>
        <v/>
      </c>
      <c r="K20" s="65">
        <f>J27</f>
        <v/>
      </c>
      <c r="L20" s="65">
        <f>K27</f>
        <v/>
      </c>
      <c r="M20" s="65">
        <f>L27</f>
        <v/>
      </c>
      <c r="N20" s="65">
        <f>M27</f>
        <v/>
      </c>
      <c r="O20" s="65">
        <f>N27</f>
        <v/>
      </c>
      <c r="P20" s="65">
        <f>O27</f>
        <v/>
      </c>
      <c r="Q20" s="65">
        <f>P27</f>
        <v/>
      </c>
      <c r="R20" s="65">
        <f>Q27</f>
        <v/>
      </c>
      <c r="S20" s="65">
        <f>R27</f>
        <v/>
      </c>
      <c r="T20" s="65">
        <f>S27</f>
        <v/>
      </c>
      <c r="U20" s="65">
        <f>T27</f>
        <v/>
      </c>
      <c r="V20" s="65">
        <f>U27</f>
        <v/>
      </c>
      <c r="W20" s="65">
        <f>V27</f>
        <v/>
      </c>
      <c r="X20" s="65">
        <f>W27</f>
        <v/>
      </c>
      <c r="Y20" s="65">
        <f>X27</f>
        <v/>
      </c>
      <c r="Z20" s="65">
        <f>Y27</f>
        <v/>
      </c>
      <c r="AA20" s="65">
        <f>Z27</f>
        <v/>
      </c>
      <c r="AB20" s="65">
        <f>AA27</f>
        <v/>
      </c>
      <c r="AC20" s="65">
        <f>AB27</f>
        <v/>
      </c>
      <c r="AD20" s="65">
        <f>AC27</f>
        <v/>
      </c>
      <c r="AE20" s="65">
        <f>AD27</f>
        <v/>
      </c>
      <c r="AF20" s="65">
        <f>AE27</f>
        <v/>
      </c>
      <c r="AG20" s="65">
        <f>AF27</f>
        <v/>
      </c>
      <c r="AH20" s="65">
        <f>AG27</f>
        <v/>
      </c>
      <c r="AI20" s="65">
        <f>AH27</f>
        <v/>
      </c>
      <c r="AJ20" s="65">
        <f>AI27</f>
        <v/>
      </c>
      <c r="AK20" s="65">
        <f>AJ27</f>
        <v/>
      </c>
      <c r="AL20" s="65">
        <f>AK27</f>
        <v/>
      </c>
      <c r="AM20" s="65">
        <f>AL27</f>
        <v/>
      </c>
      <c r="AN20" s="65">
        <f>AM27</f>
        <v/>
      </c>
      <c r="AO20" s="65">
        <f>AN27</f>
        <v/>
      </c>
      <c r="AP20" s="65">
        <f>AO27</f>
        <v/>
      </c>
      <c r="AQ20" s="65">
        <f>AP27</f>
        <v/>
      </c>
    </row>
    <row r="21">
      <c r="C21" t="inlineStr">
        <is>
          <t>contribution from chairman</t>
        </is>
      </c>
      <c r="D21" t="n">
        <v>100</v>
      </c>
      <c r="E21">
        <f>D21</f>
        <v/>
      </c>
      <c r="F21">
        <f>E21</f>
        <v/>
      </c>
      <c r="G21">
        <f>F21</f>
        <v/>
      </c>
      <c r="H21">
        <f>G21</f>
        <v/>
      </c>
      <c r="I21">
        <f>H21</f>
        <v/>
      </c>
      <c r="J21">
        <f>I21</f>
        <v/>
      </c>
      <c r="K21">
        <f>J21</f>
        <v/>
      </c>
      <c r="L21">
        <f>K21</f>
        <v/>
      </c>
      <c r="M21">
        <f>L21</f>
        <v/>
      </c>
      <c r="N21">
        <f>M21</f>
        <v/>
      </c>
      <c r="O21">
        <f>N21</f>
        <v/>
      </c>
      <c r="P21">
        <f>O21</f>
        <v/>
      </c>
      <c r="Q21">
        <f>P21</f>
        <v/>
      </c>
      <c r="R21">
        <f>Q21</f>
        <v/>
      </c>
      <c r="S21">
        <f>R21</f>
        <v/>
      </c>
      <c r="T21">
        <f>S21</f>
        <v/>
      </c>
      <c r="U21">
        <f>T21</f>
        <v/>
      </c>
      <c r="V21">
        <f>U21</f>
        <v/>
      </c>
      <c r="W21">
        <f>V21</f>
        <v/>
      </c>
      <c r="X21">
        <f>W21</f>
        <v/>
      </c>
      <c r="Y21">
        <f>X21</f>
        <v/>
      </c>
      <c r="Z21">
        <f>Y21</f>
        <v/>
      </c>
      <c r="AA21">
        <f>Z21</f>
        <v/>
      </c>
      <c r="AB21">
        <f>AA21</f>
        <v/>
      </c>
      <c r="AC21">
        <f>AB21</f>
        <v/>
      </c>
      <c r="AD21">
        <f>AC21</f>
        <v/>
      </c>
      <c r="AE21">
        <f>AD21</f>
        <v/>
      </c>
      <c r="AF21">
        <f>AE21</f>
        <v/>
      </c>
      <c r="AG21">
        <f>AF21</f>
        <v/>
      </c>
      <c r="AH21">
        <f>AG21</f>
        <v/>
      </c>
      <c r="AI21">
        <f>AH21</f>
        <v/>
      </c>
      <c r="AJ21">
        <f>AI21</f>
        <v/>
      </c>
      <c r="AK21">
        <f>AJ21</f>
        <v/>
      </c>
      <c r="AL21">
        <f>AK21</f>
        <v/>
      </c>
      <c r="AM21">
        <f>AL21</f>
        <v/>
      </c>
      <c r="AN21">
        <f>AM21</f>
        <v/>
      </c>
      <c r="AO21">
        <f>AN21</f>
        <v/>
      </c>
      <c r="AP21">
        <f>AO21</f>
        <v/>
      </c>
      <c r="AQ21">
        <f>AP21</f>
        <v/>
      </c>
    </row>
    <row r="22">
      <c r="C22" t="inlineStr">
        <is>
          <t>contribution per year from DT (2% of DT revenue)</t>
        </is>
      </c>
      <c r="D22" s="76">
        <f>D16*2%</f>
        <v/>
      </c>
      <c r="E22" s="65">
        <f>E16*2%</f>
        <v/>
      </c>
      <c r="F22" s="65">
        <f>F16*2%</f>
        <v/>
      </c>
      <c r="G22" s="65">
        <f>G16*2%</f>
        <v/>
      </c>
      <c r="H22" s="65">
        <f>H16*2%</f>
        <v/>
      </c>
      <c r="I22" s="65">
        <f>I16*2%</f>
        <v/>
      </c>
      <c r="J22" s="65">
        <f>J16*2%</f>
        <v/>
      </c>
      <c r="K22" s="65">
        <f>K16*2%</f>
        <v/>
      </c>
      <c r="L22" s="65">
        <f>L16*2%</f>
        <v/>
      </c>
      <c r="M22" s="65">
        <f>M16*2%</f>
        <v/>
      </c>
      <c r="N22" s="65">
        <f>N16*2%</f>
        <v/>
      </c>
      <c r="O22" s="65">
        <f>O16*2%</f>
        <v/>
      </c>
      <c r="P22" s="65">
        <f>P16*2%</f>
        <v/>
      </c>
      <c r="Q22" s="65">
        <f>Q16*2%</f>
        <v/>
      </c>
      <c r="R22" s="65">
        <f>R16*2%</f>
        <v/>
      </c>
      <c r="S22" s="65">
        <f>S16*2%</f>
        <v/>
      </c>
      <c r="T22" s="65">
        <f>T16*2%</f>
        <v/>
      </c>
      <c r="U22" s="65">
        <f>U16*2%</f>
        <v/>
      </c>
      <c r="V22" s="65">
        <f>V16*2%</f>
        <v/>
      </c>
      <c r="W22" s="65">
        <f>W16*2%</f>
        <v/>
      </c>
      <c r="X22" s="65">
        <f>X16*2%</f>
        <v/>
      </c>
      <c r="Y22" s="65">
        <f>Y16*2%</f>
        <v/>
      </c>
      <c r="Z22" s="65">
        <f>Z16*2%</f>
        <v/>
      </c>
      <c r="AA22" s="65">
        <f>AA16*2%</f>
        <v/>
      </c>
      <c r="AB22" s="65">
        <f>AB16*2%</f>
        <v/>
      </c>
      <c r="AC22" s="65">
        <f>AC16*2%</f>
        <v/>
      </c>
      <c r="AD22" s="65">
        <f>AD16*2%</f>
        <v/>
      </c>
      <c r="AE22" s="65">
        <f>AE16*2%</f>
        <v/>
      </c>
      <c r="AF22" s="65">
        <f>AF16*2%</f>
        <v/>
      </c>
      <c r="AG22" s="65">
        <f>AG16*2%</f>
        <v/>
      </c>
      <c r="AH22" s="65">
        <f>AH16*2%</f>
        <v/>
      </c>
      <c r="AI22" s="65">
        <f>AI16*2%</f>
        <v/>
      </c>
      <c r="AJ22" s="65">
        <f>AJ16*2%</f>
        <v/>
      </c>
      <c r="AK22" s="65">
        <f>AK16*2%</f>
        <v/>
      </c>
      <c r="AL22" s="65">
        <f>AL16*2%</f>
        <v/>
      </c>
      <c r="AM22" s="65">
        <f>AM16*2%</f>
        <v/>
      </c>
      <c r="AN22" s="65">
        <f>AN16*2%</f>
        <v/>
      </c>
      <c r="AO22" s="65">
        <f>AO16*2%</f>
        <v/>
      </c>
      <c r="AP22" s="65">
        <f>AP16*2%</f>
        <v/>
      </c>
      <c r="AQ22" s="65">
        <f>AQ16*2%</f>
        <v/>
      </c>
    </row>
    <row r="23" customFormat="1" s="28">
      <c r="C23" s="28" t="inlineStr">
        <is>
          <t>Grants 90% of investment income</t>
        </is>
      </c>
      <c r="D23" s="77" t="n"/>
      <c r="E23" s="77">
        <f>-E26*0.9</f>
        <v/>
      </c>
      <c r="F23" s="77">
        <f>-F26*0.9</f>
        <v/>
      </c>
      <c r="G23" s="77">
        <f>-G26*0.9</f>
        <v/>
      </c>
      <c r="H23" s="77">
        <f>-H26*0.9</f>
        <v/>
      </c>
      <c r="I23" s="77">
        <f>-I26*0.9</f>
        <v/>
      </c>
      <c r="J23" s="77">
        <f>-J26*0.9</f>
        <v/>
      </c>
      <c r="K23" s="77">
        <f>-K26*0.9</f>
        <v/>
      </c>
      <c r="L23" s="77">
        <f>-L26*0.9</f>
        <v/>
      </c>
      <c r="M23" s="77">
        <f>-M26*0.9</f>
        <v/>
      </c>
      <c r="N23" s="77">
        <f>-N26*0.9</f>
        <v/>
      </c>
      <c r="O23" s="77">
        <f>-O26*0.9</f>
        <v/>
      </c>
      <c r="P23" s="77">
        <f>-P26*0.9</f>
        <v/>
      </c>
      <c r="Q23" s="77">
        <f>-Q26*0.9</f>
        <v/>
      </c>
      <c r="R23" s="77">
        <f>-R26*0.9</f>
        <v/>
      </c>
      <c r="S23" s="77">
        <f>-S26*0.9</f>
        <v/>
      </c>
      <c r="T23" s="77">
        <f>-T26*0.9</f>
        <v/>
      </c>
      <c r="U23" s="77">
        <f>-U26*0.9</f>
        <v/>
      </c>
      <c r="V23" s="77">
        <f>-V26*0.9</f>
        <v/>
      </c>
      <c r="W23" s="77">
        <f>-W26*0.9</f>
        <v/>
      </c>
      <c r="X23" s="77">
        <f>-X26*0.9</f>
        <v/>
      </c>
      <c r="Y23" s="77">
        <f>-Y26*0.9</f>
        <v/>
      </c>
      <c r="Z23" s="77">
        <f>-Z26*0.9</f>
        <v/>
      </c>
      <c r="AA23" s="77">
        <f>-AA26*0.9</f>
        <v/>
      </c>
      <c r="AB23" s="77">
        <f>-AB26*0.9</f>
        <v/>
      </c>
      <c r="AC23" s="77">
        <f>-AC26*0.9</f>
        <v/>
      </c>
      <c r="AD23" s="77">
        <f>-AD26*0.9</f>
        <v/>
      </c>
      <c r="AE23" s="77">
        <f>-AE26*0.9</f>
        <v/>
      </c>
      <c r="AF23" s="77">
        <f>-AF26*0.9</f>
        <v/>
      </c>
      <c r="AG23" s="77">
        <f>-AG26*0.9</f>
        <v/>
      </c>
      <c r="AH23" s="77">
        <f>-AH26*0.9</f>
        <v/>
      </c>
      <c r="AI23" s="77">
        <f>-AI26*0.9</f>
        <v/>
      </c>
      <c r="AJ23" s="77">
        <f>-AJ26*0.9</f>
        <v/>
      </c>
      <c r="AK23" s="77">
        <f>-AK26*0.9</f>
        <v/>
      </c>
      <c r="AL23" s="77">
        <f>-AL26*0.9</f>
        <v/>
      </c>
      <c r="AM23" s="77">
        <f>-AM26*0.9</f>
        <v/>
      </c>
      <c r="AN23" s="77">
        <f>-AN26*0.9</f>
        <v/>
      </c>
      <c r="AO23" s="77">
        <f>-AO26*0.9</f>
        <v/>
      </c>
      <c r="AP23" s="77">
        <f>-AP26*0.9</f>
        <v/>
      </c>
      <c r="AQ23" s="77">
        <f>-AQ26*0.9</f>
        <v/>
      </c>
    </row>
    <row r="24">
      <c r="C24" t="inlineStr">
        <is>
          <t>Management Fee 2% of asset size</t>
        </is>
      </c>
      <c r="D24" s="65" t="n"/>
      <c r="E24" s="65">
        <f>-D27*2%</f>
        <v/>
      </c>
      <c r="F24" s="65">
        <f>-E27*2%</f>
        <v/>
      </c>
      <c r="G24" s="65">
        <f>-F27*2%</f>
        <v/>
      </c>
      <c r="H24" s="65">
        <f>-G27*2%</f>
        <v/>
      </c>
      <c r="I24" s="65">
        <f>-H27*2%</f>
        <v/>
      </c>
      <c r="J24" s="65">
        <f>-I27*2%</f>
        <v/>
      </c>
      <c r="K24" s="65">
        <f>-J27*2%</f>
        <v/>
      </c>
      <c r="L24" s="65">
        <f>-K27*2%</f>
        <v/>
      </c>
      <c r="M24" s="65">
        <f>-L27*2%</f>
        <v/>
      </c>
      <c r="N24" s="65">
        <f>-M27*2%</f>
        <v/>
      </c>
      <c r="O24" s="65">
        <f>-N27*2%</f>
        <v/>
      </c>
      <c r="P24" s="65">
        <f>-O27*2%</f>
        <v/>
      </c>
      <c r="Q24" s="65">
        <f>-P27*2%</f>
        <v/>
      </c>
      <c r="R24" s="65">
        <f>-Q27*2%</f>
        <v/>
      </c>
      <c r="S24" s="65">
        <f>-R27*2%</f>
        <v/>
      </c>
      <c r="T24" s="65">
        <f>-S27*2%</f>
        <v/>
      </c>
      <c r="U24" s="65">
        <f>-T27*2%</f>
        <v/>
      </c>
      <c r="V24" s="65">
        <f>-U27*2%</f>
        <v/>
      </c>
      <c r="W24" s="65">
        <f>-V27*2%</f>
        <v/>
      </c>
      <c r="X24" s="65">
        <f>-W27*2%</f>
        <v/>
      </c>
      <c r="Y24" s="65">
        <f>-X27*2%</f>
        <v/>
      </c>
      <c r="Z24" s="65">
        <f>-Y27*2%</f>
        <v/>
      </c>
      <c r="AA24" s="65">
        <f>-Z27*2%</f>
        <v/>
      </c>
      <c r="AB24" s="65">
        <f>-AA27*2%</f>
        <v/>
      </c>
      <c r="AC24" s="65">
        <f>-AB27*2%</f>
        <v/>
      </c>
      <c r="AD24" s="65">
        <f>-AC27*2%</f>
        <v/>
      </c>
      <c r="AE24" s="65">
        <f>-AD27*2%</f>
        <v/>
      </c>
      <c r="AF24" s="65">
        <f>-AE27*2%</f>
        <v/>
      </c>
      <c r="AG24" s="65">
        <f>-AF27*2%</f>
        <v/>
      </c>
      <c r="AH24" s="65">
        <f>-AG27*2%</f>
        <v/>
      </c>
      <c r="AI24" s="65">
        <f>-AH27*2%</f>
        <v/>
      </c>
      <c r="AJ24" s="65">
        <f>-AI27*2%</f>
        <v/>
      </c>
      <c r="AK24" s="65">
        <f>-AJ27*2%</f>
        <v/>
      </c>
      <c r="AL24" s="65">
        <f>-AK27*2%</f>
        <v/>
      </c>
      <c r="AM24" s="65">
        <f>-AL27*2%</f>
        <v/>
      </c>
      <c r="AN24" s="65">
        <f>-AM27*2%</f>
        <v/>
      </c>
      <c r="AO24" s="65">
        <f>-AN27*2%</f>
        <v/>
      </c>
      <c r="AP24" s="65">
        <f>-AO27*2%</f>
        <v/>
      </c>
      <c r="AQ24" s="65">
        <f>-AP27*2%</f>
        <v/>
      </c>
    </row>
    <row r="25">
      <c r="C25" t="inlineStr">
        <is>
          <t>SGA (8% of investment income)</t>
        </is>
      </c>
      <c r="E25" s="65">
        <f>-E26*8%</f>
        <v/>
      </c>
      <c r="F25" s="65">
        <f>-F26*8%</f>
        <v/>
      </c>
      <c r="G25" s="65">
        <f>-G26*8%</f>
        <v/>
      </c>
      <c r="H25" s="65">
        <f>-H26*8%</f>
        <v/>
      </c>
      <c r="I25" s="65">
        <f>-I26*8%</f>
        <v/>
      </c>
      <c r="J25" s="65">
        <f>-J26*8%</f>
        <v/>
      </c>
      <c r="K25" s="65">
        <f>-K26*8%</f>
        <v/>
      </c>
      <c r="L25" s="65">
        <f>-L26*8%</f>
        <v/>
      </c>
      <c r="M25" s="65">
        <f>-M26*8%</f>
        <v/>
      </c>
      <c r="N25" s="65">
        <f>-N26*8%</f>
        <v/>
      </c>
      <c r="O25" s="65">
        <f>-O26*8%</f>
        <v/>
      </c>
      <c r="P25" s="65">
        <f>-P26*8%</f>
        <v/>
      </c>
      <c r="Q25" s="65">
        <f>-Q26*8%</f>
        <v/>
      </c>
      <c r="R25" s="65">
        <f>-R26*8%</f>
        <v/>
      </c>
      <c r="S25" s="65">
        <f>-S26*8%</f>
        <v/>
      </c>
      <c r="T25" s="65">
        <f>-T26*8%</f>
        <v/>
      </c>
      <c r="U25" s="65">
        <f>-U26*8%</f>
        <v/>
      </c>
      <c r="V25" s="65">
        <f>-V26*8%</f>
        <v/>
      </c>
      <c r="W25" s="65">
        <f>-W26*8%</f>
        <v/>
      </c>
      <c r="X25" s="65">
        <f>-X26*8%</f>
        <v/>
      </c>
      <c r="Y25" s="65">
        <f>-Y26*8%</f>
        <v/>
      </c>
      <c r="Z25" s="65">
        <f>-Z26*8%</f>
        <v/>
      </c>
      <c r="AA25" s="65">
        <f>-AA26*8%</f>
        <v/>
      </c>
      <c r="AB25" s="65">
        <f>-AB26*8%</f>
        <v/>
      </c>
      <c r="AC25" s="65">
        <f>-AC26*8%</f>
        <v/>
      </c>
      <c r="AD25" s="65">
        <f>-AD26*8%</f>
        <v/>
      </c>
      <c r="AE25" s="65">
        <f>-AE26*8%</f>
        <v/>
      </c>
      <c r="AF25" s="65">
        <f>-AF26*8%</f>
        <v/>
      </c>
      <c r="AG25" s="65">
        <f>-AG26*8%</f>
        <v/>
      </c>
      <c r="AH25" s="65">
        <f>-AH26*8%</f>
        <v/>
      </c>
      <c r="AI25" s="65">
        <f>-AI26*8%</f>
        <v/>
      </c>
      <c r="AJ25" s="65">
        <f>-AJ26*8%</f>
        <v/>
      </c>
      <c r="AK25" s="65">
        <f>-AK26*8%</f>
        <v/>
      </c>
      <c r="AL25" s="65">
        <f>-AL26*8%</f>
        <v/>
      </c>
      <c r="AM25" s="65">
        <f>-AM26*8%</f>
        <v/>
      </c>
      <c r="AN25" s="65">
        <f>-AN26*8%</f>
        <v/>
      </c>
      <c r="AO25" s="65">
        <f>-AO26*8%</f>
        <v/>
      </c>
      <c r="AP25" s="65">
        <f>-AP26*8%</f>
        <v/>
      </c>
      <c r="AQ25" s="65">
        <f>-AQ26*8%</f>
        <v/>
      </c>
    </row>
    <row r="26">
      <c r="C26" t="inlineStr">
        <is>
          <t>Return 10% of endowment asset</t>
        </is>
      </c>
      <c r="D26" s="68" t="n"/>
      <c r="E26" s="68">
        <f>D27*10%</f>
        <v/>
      </c>
      <c r="F26" s="68">
        <f>E27*10%</f>
        <v/>
      </c>
      <c r="G26" s="70">
        <f>F27*10%</f>
        <v/>
      </c>
      <c r="H26" s="68">
        <f>G27*10%</f>
        <v/>
      </c>
      <c r="I26" s="68">
        <f>H27*10%</f>
        <v/>
      </c>
      <c r="J26" s="68">
        <f>I27*10%</f>
        <v/>
      </c>
      <c r="K26" s="68">
        <f>J27*10%</f>
        <v/>
      </c>
      <c r="L26" s="68">
        <f>K27*10%</f>
        <v/>
      </c>
      <c r="M26" s="68">
        <f>L27*10%</f>
        <v/>
      </c>
      <c r="N26" s="68">
        <f>M27*10%</f>
        <v/>
      </c>
      <c r="O26" s="68">
        <f>N27*10%</f>
        <v/>
      </c>
      <c r="P26" s="68">
        <f>O27*10%</f>
        <v/>
      </c>
      <c r="Q26" s="68">
        <f>P27*10%</f>
        <v/>
      </c>
      <c r="R26" s="68">
        <f>Q27*10%</f>
        <v/>
      </c>
      <c r="S26" s="68">
        <f>R27*10%</f>
        <v/>
      </c>
      <c r="T26" s="68">
        <f>S27*10%</f>
        <v/>
      </c>
      <c r="U26" s="68">
        <f>T27*10%</f>
        <v/>
      </c>
      <c r="V26" s="68">
        <f>U27*10%</f>
        <v/>
      </c>
      <c r="W26" s="68">
        <f>V27*10%</f>
        <v/>
      </c>
      <c r="X26" s="68">
        <f>W27*10%</f>
        <v/>
      </c>
      <c r="Y26" s="68">
        <f>X27*10%</f>
        <v/>
      </c>
      <c r="Z26" s="68">
        <f>Y27*10%</f>
        <v/>
      </c>
      <c r="AA26" s="68">
        <f>Z27*10%</f>
        <v/>
      </c>
      <c r="AB26" s="68">
        <f>AA27*10%</f>
        <v/>
      </c>
      <c r="AC26" s="68">
        <f>AB27*10%</f>
        <v/>
      </c>
      <c r="AD26" s="68">
        <f>AC27*10%</f>
        <v/>
      </c>
      <c r="AE26" s="68">
        <f>AD27*10%</f>
        <v/>
      </c>
      <c r="AF26" s="68">
        <f>AE27*10%</f>
        <v/>
      </c>
      <c r="AG26" s="68">
        <f>AF27*10%</f>
        <v/>
      </c>
      <c r="AH26" s="68">
        <f>AG27*10%</f>
        <v/>
      </c>
      <c r="AI26" s="68">
        <f>AH27*10%</f>
        <v/>
      </c>
      <c r="AJ26" s="68">
        <f>AI27*10%</f>
        <v/>
      </c>
      <c r="AK26" s="68">
        <f>AJ27*10%</f>
        <v/>
      </c>
      <c r="AL26" s="68">
        <f>AK27*10%</f>
        <v/>
      </c>
      <c r="AM26" s="68">
        <f>AL27*10%</f>
        <v/>
      </c>
      <c r="AN26" s="68">
        <f>AM27*10%</f>
        <v/>
      </c>
      <c r="AO26" s="68">
        <f>AN27*10%</f>
        <v/>
      </c>
      <c r="AP26" s="68">
        <f>AO27*10%</f>
        <v/>
      </c>
      <c r="AQ26" s="68">
        <f>AP27*10%</f>
        <v/>
      </c>
    </row>
    <row r="27">
      <c r="C27" t="inlineStr">
        <is>
          <t>Endowment size end of the year</t>
        </is>
      </c>
      <c r="D27" s="65">
        <f>D20+D22+D23+D24+D25+D26+D21</f>
        <v/>
      </c>
      <c r="E27" s="65">
        <f>E20+E22+E23+E24+E25+E26+E21</f>
        <v/>
      </c>
      <c r="F27" s="65">
        <f>F20+F22+F23+F24+F25+F26+F21</f>
        <v/>
      </c>
      <c r="G27" s="78">
        <f>G20+G22+G23+G24+G25+G26+G21</f>
        <v/>
      </c>
      <c r="H27" s="65">
        <f>H20+H22+H23+H24+H25+H26+H21</f>
        <v/>
      </c>
      <c r="I27" s="65">
        <f>I20+I22+I23+I24+I25+I26+I21</f>
        <v/>
      </c>
      <c r="J27" s="65">
        <f>J20+J22+J23+J24+J25+J26+J21</f>
        <v/>
      </c>
      <c r="K27" s="65">
        <f>K20+K22+K23+K24+K25+K26+K21</f>
        <v/>
      </c>
      <c r="L27" s="65">
        <f>L20+L22+L23+L24+L25+L26+L21</f>
        <v/>
      </c>
      <c r="M27" s="78">
        <f>M20+M22+M23+M24+M25+M26+M21</f>
        <v/>
      </c>
      <c r="N27" s="65">
        <f>N20+N22+N23+N24+N25+N26+N21</f>
        <v/>
      </c>
      <c r="O27" s="65">
        <f>O20+O22+O23+O24+O25+O26+O21</f>
        <v/>
      </c>
      <c r="P27" s="65">
        <f>P20+P22+P23+P24+P25+P26+P21</f>
        <v/>
      </c>
      <c r="Q27" s="78">
        <f>Q20+Q22+Q23+Q24+Q25+Q26+Q21</f>
        <v/>
      </c>
      <c r="R27" s="65">
        <f>R20+R22+R23+R24+R25+R26+R21</f>
        <v/>
      </c>
      <c r="S27" s="65">
        <f>S20+S22+S23+S24+S25+S26+S21</f>
        <v/>
      </c>
      <c r="T27" s="65">
        <f>T20+T22+T23+T24+T25+T26+T21</f>
        <v/>
      </c>
      <c r="U27" s="65">
        <f>U20+U22+U23+U24+U25+U26+U21</f>
        <v/>
      </c>
      <c r="V27" s="65">
        <f>V20+V22+V23+V24+V25+V26+V21</f>
        <v/>
      </c>
      <c r="W27" s="65">
        <f>W20+W22+W23+W24+W25+W26+W21</f>
        <v/>
      </c>
      <c r="X27" s="65">
        <f>X20+X22+X23+X24+X25+X26+X21</f>
        <v/>
      </c>
      <c r="Y27" s="65">
        <f>Y20+Y22+Y23+Y24+Y25+Y26+Y21</f>
        <v/>
      </c>
      <c r="Z27" s="65">
        <f>Z20+Z22+Z23+Z24+Z25+Z26+Z21</f>
        <v/>
      </c>
      <c r="AA27" s="65">
        <f>AA20+AA22+AA23+AA24+AA25+AA26+AA21</f>
        <v/>
      </c>
      <c r="AB27" s="65">
        <f>AB20+AB22+AB23+AB24+AB25+AB26+AB21</f>
        <v/>
      </c>
      <c r="AC27" s="65">
        <f>AC20+AC22+AC23+AC24+AC25+AC26+AC21</f>
        <v/>
      </c>
      <c r="AD27" s="65">
        <f>AD20+AD22+AD23+AD24+AD25+AD26+AD21</f>
        <v/>
      </c>
      <c r="AE27" s="65">
        <f>AE20+AE22+AE23+AE24+AE25+AE26+AE21</f>
        <v/>
      </c>
      <c r="AF27" s="65">
        <f>AF20+AF22+AF23+AF24+AF25+AF26+AF21</f>
        <v/>
      </c>
      <c r="AG27" s="65">
        <f>AG20+AG22+AG23+AG24+AG25+AG26+AG21</f>
        <v/>
      </c>
      <c r="AH27" s="65">
        <f>AH20+AH22+AH23+AH24+AH25+AH26+AH21</f>
        <v/>
      </c>
      <c r="AI27" s="65">
        <f>AI20+AI22+AI23+AI24+AI25+AI26+AI21</f>
        <v/>
      </c>
      <c r="AJ27" s="65">
        <f>AJ20+AJ22+AJ23+AJ24+AJ25+AJ26+AJ21</f>
        <v/>
      </c>
      <c r="AK27" s="65">
        <f>AK20+AK22+AK23+AK24+AK25+AK26+AK21</f>
        <v/>
      </c>
      <c r="AL27" s="65">
        <f>AL20+AL22+AL23+AL24+AL25+AL26+AL21</f>
        <v/>
      </c>
      <c r="AM27" s="65">
        <f>AM20+AM22+AM23+AM24+AM25+AM26+AM21</f>
        <v/>
      </c>
      <c r="AN27" s="65">
        <f>AN20+AN22+AN23+AN24+AN25+AN26+AN21</f>
        <v/>
      </c>
      <c r="AO27" s="65">
        <f>AO20+AO22+AO23+AO24+AO25+AO26+AO21</f>
        <v/>
      </c>
      <c r="AP27" s="65">
        <f>AP20+AP22+AP23+AP24+AP25+AP26+AP21</f>
        <v/>
      </c>
      <c r="AQ27" s="77">
        <f>AQ20+AQ22+AQ23+AQ24+AQ25+AQ26+AQ21</f>
        <v/>
      </c>
    </row>
    <row r="28">
      <c r="C28" t="inlineStr">
        <is>
          <t>NPV of endowment asset</t>
        </is>
      </c>
      <c r="D28" s="68">
        <f>D27/POWER(1+$D$4,D8)</f>
        <v/>
      </c>
      <c r="E28" s="68">
        <f>E27/POWER(1+$D$4,E8)</f>
        <v/>
      </c>
      <c r="F28" s="68">
        <f>F27/POWER(1+$D$4,F8)</f>
        <v/>
      </c>
      <c r="G28" s="68">
        <f>G27/POWER(1+$D$4,G8)</f>
        <v/>
      </c>
      <c r="H28" s="68">
        <f>H27/POWER(1+$D$4,H8)</f>
        <v/>
      </c>
      <c r="I28" s="68">
        <f>I27/POWER(1+$D$4,I8)</f>
        <v/>
      </c>
      <c r="J28" s="68">
        <f>J27/POWER(1+$D$4,J8)</f>
        <v/>
      </c>
      <c r="K28" s="68">
        <f>K27/POWER(1+$D$4,K8)</f>
        <v/>
      </c>
      <c r="L28" s="68">
        <f>L27/POWER(1+$D$4,L8)</f>
        <v/>
      </c>
      <c r="M28" s="68">
        <f>M27/POWER(1+$D$4,M8)</f>
        <v/>
      </c>
      <c r="N28" s="68">
        <f>N27/POWER(1+$D$4,N8)</f>
        <v/>
      </c>
      <c r="O28" s="68">
        <f>O27/POWER(1+$D$4,O8)</f>
        <v/>
      </c>
      <c r="P28" s="68">
        <f>P27/POWER(1+$D$4,P8)</f>
        <v/>
      </c>
      <c r="Q28" s="68">
        <f>Q27/POWER(1+$D$4,Q8)</f>
        <v/>
      </c>
      <c r="R28" s="68">
        <f>R27/POWER(1+$D$4,R8)</f>
        <v/>
      </c>
      <c r="S28" s="68">
        <f>S27/POWER(1+$D$4,S8)</f>
        <v/>
      </c>
      <c r="T28" s="68">
        <f>T27/POWER(1+$D$4,T8)</f>
        <v/>
      </c>
      <c r="U28" s="68">
        <f>U27/POWER(1+$D$4,U8)</f>
        <v/>
      </c>
      <c r="V28" s="68">
        <f>V27/POWER(1+$D$4,V8)</f>
        <v/>
      </c>
      <c r="W28" s="68">
        <f>W27/POWER(1+$D$4,W8)</f>
        <v/>
      </c>
      <c r="X28" s="68">
        <f>X27/POWER(1+$D$4,X8)</f>
        <v/>
      </c>
      <c r="Y28" s="68">
        <f>Y27/POWER(1+$D$4,Y8)</f>
        <v/>
      </c>
      <c r="Z28" s="68">
        <f>Z27/POWER(1+$D$4,Z8)</f>
        <v/>
      </c>
      <c r="AA28" s="68">
        <f>AA27/POWER(1+$D$4,AA8)</f>
        <v/>
      </c>
      <c r="AB28" s="68">
        <f>AB27/POWER(1+$D$4,AB8)</f>
        <v/>
      </c>
      <c r="AC28" s="68">
        <f>AC27/POWER(1+$D$4,AC8)</f>
        <v/>
      </c>
      <c r="AD28" s="68">
        <f>AD27/POWER(1+$D$4,AD8)</f>
        <v/>
      </c>
      <c r="AE28" s="68">
        <f>AE27/POWER(1+$D$4,AE8)</f>
        <v/>
      </c>
      <c r="AF28" s="68">
        <f>AF27/POWER(1+$D$4,AF8)</f>
        <v/>
      </c>
      <c r="AG28" s="68">
        <f>AG27/POWER(1+$D$4,AG8)</f>
        <v/>
      </c>
      <c r="AH28" s="68">
        <f>AH27/POWER(1+$D$4,AH8)</f>
        <v/>
      </c>
      <c r="AI28" s="68">
        <f>AI27/POWER(1+$D$4,AI8)</f>
        <v/>
      </c>
      <c r="AJ28" s="68">
        <f>AJ27/POWER(1+$D$4,AJ8)</f>
        <v/>
      </c>
      <c r="AK28" s="68">
        <f>AK27/POWER(1+$D$4,AK8)</f>
        <v/>
      </c>
      <c r="AL28" s="68">
        <f>AL27/POWER(1+$D$4,AL8)</f>
        <v/>
      </c>
      <c r="AM28" s="68">
        <f>AM27/POWER(1+$D$4,AM8)</f>
        <v/>
      </c>
      <c r="AN28" s="68">
        <f>AN27/POWER(1+$D$4,AN8)</f>
        <v/>
      </c>
      <c r="AO28" s="68">
        <f>AO27/POWER(1+$D$4,AO8)</f>
        <v/>
      </c>
      <c r="AP28" s="68">
        <f>AP27/POWER(1+$D$4,AP8)</f>
        <v/>
      </c>
      <c r="AQ28" s="68">
        <f>AQ27/POWER(1+$D$4,AQ8)</f>
        <v/>
      </c>
    </row>
    <row r="29"/>
    <row r="30">
      <c r="C30" t="inlineStr">
        <is>
          <t>Fund AUM (QM only)</t>
        </is>
      </c>
    </row>
    <row r="31">
      <c r="D31" t="n">
        <v>40</v>
      </c>
      <c r="E31" t="n">
        <v>1691</v>
      </c>
      <c r="F31" t="n">
        <v>9071</v>
      </c>
      <c r="G31" t="n">
        <v>30573</v>
      </c>
      <c r="H31" t="n">
        <v>5870</v>
      </c>
    </row>
    <row r="32">
      <c r="E32" s="58">
        <f>(E31/D31)-1</f>
        <v/>
      </c>
      <c r="F32" s="58">
        <f>(F31/E31)-1</f>
        <v/>
      </c>
      <c r="G32" s="58">
        <f>(G31/F31)-1</f>
        <v/>
      </c>
      <c r="H32" s="58">
        <f>(H31/G31)-1</f>
        <v/>
      </c>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Q25"/>
  <sheetViews>
    <sheetView tabSelected="1" topLeftCell="B1" workbookViewId="0">
      <selection activeCell="F12" sqref="F12"/>
    </sheetView>
  </sheetViews>
  <sheetFormatPr baseColWidth="8" defaultRowHeight="15.75"/>
  <cols>
    <col width="15.75" customWidth="1" style="57" min="2" max="2"/>
    <col width="27.375" customWidth="1" style="57" min="3" max="3"/>
    <col width="15.5" customWidth="1" style="57" min="4" max="4"/>
  </cols>
  <sheetData>
    <row r="1">
      <c r="A1" s="56" t="n"/>
      <c r="B1" s="56" t="inlineStr">
        <is>
          <t>Future Issue</t>
        </is>
      </c>
      <c r="C1" s="56" t="inlineStr">
        <is>
          <t>Business</t>
        </is>
      </c>
      <c r="D1" s="56" t="n"/>
      <c r="E1" s="56" t="n"/>
      <c r="F1" s="56" t="n"/>
      <c r="G1" s="56" t="n"/>
      <c r="H1" s="56" t="n"/>
      <c r="I1" s="56" t="inlineStr">
        <is>
          <t>Social</t>
        </is>
      </c>
      <c r="J1" s="56" t="n"/>
      <c r="K1" s="56" t="n"/>
      <c r="L1" s="56" t="n"/>
      <c r="M1" s="56" t="n"/>
      <c r="N1" s="56" t="n"/>
      <c r="O1" s="56" t="n"/>
      <c r="P1" s="56" t="inlineStr">
        <is>
          <t>Corporate/Core Competency</t>
        </is>
      </c>
      <c r="Q1" s="56" t="n"/>
    </row>
    <row r="2">
      <c r="A2" s="56" t="n"/>
      <c r="B2" s="56" t="inlineStr">
        <is>
          <t>(Anticipated)</t>
        </is>
      </c>
      <c r="C2" s="56" t="inlineStr">
        <is>
          <t>Size(project)</t>
        </is>
      </c>
      <c r="D2" s="56" t="inlineStr">
        <is>
          <t>Geography</t>
        </is>
      </c>
      <c r="E2" s="56" t="inlineStr">
        <is>
          <t>Product</t>
        </is>
      </c>
      <c r="F2" s="56" t="inlineStr">
        <is>
          <t>Service</t>
        </is>
      </c>
      <c r="G2" s="56" t="inlineStr">
        <is>
          <t>Price point</t>
        </is>
      </c>
      <c r="H2" s="56" t="n"/>
      <c r="I2" s="56" t="inlineStr">
        <is>
          <t>Size</t>
        </is>
      </c>
      <c r="J2" s="56" t="inlineStr">
        <is>
          <t>Grant (USD)</t>
        </is>
      </c>
      <c r="K2" s="56" t="inlineStr">
        <is>
          <t>Geography</t>
        </is>
      </c>
      <c r="L2" s="56" t="inlineStr">
        <is>
          <t>Governance</t>
        </is>
      </c>
      <c r="M2" s="56" t="inlineStr">
        <is>
          <t>Focus</t>
        </is>
      </c>
      <c r="N2" s="56" t="inlineStr">
        <is>
          <t>Issue</t>
        </is>
      </c>
      <c r="O2" s="56" t="n"/>
      <c r="P2" s="56" t="inlineStr">
        <is>
          <t>Size (USD)</t>
        </is>
      </c>
      <c r="Q2" s="56" t="inlineStr">
        <is>
          <t xml:space="preserve">Focus </t>
        </is>
      </c>
    </row>
    <row r="3">
      <c r="A3" s="56" t="inlineStr">
        <is>
          <t>Phase 1</t>
        </is>
      </c>
      <c r="B3" s="56" t="inlineStr">
        <is>
          <t>Shift to China</t>
        </is>
      </c>
      <c r="C3" s="56" t="inlineStr">
        <is>
          <t>&gt;10 projects developed</t>
        </is>
      </c>
      <c r="D3" s="56" t="inlineStr">
        <is>
          <t>Second home, tourist location</t>
        </is>
      </c>
      <c r="E3" s="56" t="inlineStr">
        <is>
          <t>Residential</t>
        </is>
      </c>
      <c r="F3" s="56" t="inlineStr">
        <is>
          <t>Development</t>
        </is>
      </c>
      <c r="G3" s="56" t="inlineStr">
        <is>
          <t>Premium</t>
        </is>
      </c>
      <c r="H3" s="56" t="inlineStr">
        <is>
          <t>Phase 1</t>
        </is>
      </c>
      <c r="I3" s="56" t="n"/>
      <c r="J3" s="56" t="n"/>
      <c r="K3" s="56" t="n"/>
      <c r="L3" s="56" t="n"/>
      <c r="M3" s="56" t="n"/>
      <c r="N3" s="56" t="n"/>
      <c r="O3" s="56" t="inlineStr">
        <is>
          <t>Phase 1</t>
        </is>
      </c>
      <c r="P3" s="56" t="inlineStr">
        <is>
          <t>300-500 M</t>
        </is>
      </c>
      <c r="Q3" s="56" t="inlineStr">
        <is>
          <t>1. Build core competency (Network, product, brand)</t>
        </is>
      </c>
    </row>
    <row r="4">
      <c r="A4" s="56" t="n"/>
      <c r="B4" s="56" t="inlineStr">
        <is>
          <t>Smart &amp; Green technology</t>
        </is>
      </c>
      <c r="C4" s="56" t="inlineStr">
        <is>
          <t>(assuming avg 200m, mixed used, 1 project every 3 year)</t>
        </is>
      </c>
      <c r="D4" s="56" t="inlineStr">
        <is>
          <t>Top tier 1,2 city</t>
        </is>
      </c>
      <c r="E4" s="56" t="inlineStr">
        <is>
          <t>Mixed (office, residential, retail)</t>
        </is>
      </c>
      <c r="F4" s="56" t="inlineStr">
        <is>
          <t>Design</t>
        </is>
      </c>
      <c r="G4" s="56" t="inlineStr">
        <is>
          <t>Mid-high</t>
        </is>
      </c>
      <c r="H4" s="56" t="n"/>
      <c r="I4" s="56" t="n"/>
      <c r="J4" s="56" t="n"/>
      <c r="K4" s="56" t="n"/>
      <c r="L4" s="56" t="n"/>
      <c r="M4" s="56" t="n"/>
      <c r="N4" s="56" t="n"/>
      <c r="O4" s="56" t="n"/>
      <c r="P4" s="56" t="n"/>
      <c r="Q4" s="56" t="inlineStr">
        <is>
          <t>2. Build "Star Product"  (ie, income producing house, eco-city, smart communtiy, healthy city etc)</t>
        </is>
      </c>
    </row>
    <row r="5">
      <c r="A5" s="56" t="n"/>
      <c r="B5" s="56" t="n"/>
      <c r="C5" s="56" t="n"/>
      <c r="D5" s="56" t="inlineStr">
        <is>
          <t>Thailand 75%</t>
        </is>
      </c>
      <c r="E5" s="56" t="inlineStr">
        <is>
          <t>Independent Living, Assisted Living</t>
        </is>
      </c>
      <c r="F5" s="56" t="inlineStr">
        <is>
          <t>Coutersy</t>
        </is>
      </c>
      <c r="G5" s="56" t="inlineStr">
        <is>
          <t>High</t>
        </is>
      </c>
      <c r="H5" s="56" t="n"/>
      <c r="I5" s="56" t="n"/>
      <c r="J5" s="56" t="n"/>
      <c r="K5" s="56" t="n"/>
      <c r="L5" s="56" t="n"/>
      <c r="M5" s="56" t="n"/>
      <c r="N5" s="56" t="n"/>
      <c r="O5" s="56" t="n"/>
      <c r="P5" s="56" t="n"/>
      <c r="Q5" s="56" t="inlineStr">
        <is>
          <t>3. Focus on Product Excellence/Product Differentiation (Quality &amp; Innovation)</t>
        </is>
      </c>
    </row>
    <row r="6">
      <c r="A6" s="56" t="n"/>
      <c r="B6" s="56" t="n"/>
      <c r="C6" s="56" t="n"/>
      <c r="D6" s="56" t="inlineStr">
        <is>
          <t>China 25%</t>
        </is>
      </c>
      <c r="E6" s="56" t="inlineStr">
        <is>
          <t>(hotel)</t>
        </is>
      </c>
      <c r="F6" s="56" t="inlineStr">
        <is>
          <t>Trading</t>
        </is>
      </c>
      <c r="G6" s="56" t="inlineStr">
        <is>
          <t>Mid</t>
        </is>
      </c>
      <c r="H6" s="56" t="n"/>
      <c r="I6" s="56" t="n"/>
      <c r="J6" s="56" t="n"/>
      <c r="K6" s="56" t="n"/>
      <c r="L6" s="56" t="n"/>
      <c r="M6" s="56" t="n"/>
      <c r="N6" s="56" t="n"/>
      <c r="O6" s="56" t="n"/>
      <c r="P6" s="56" t="n"/>
      <c r="Q6" s="56" t="inlineStr">
        <is>
          <t>4. Build turnkey vertical value chain with development as a core</t>
        </is>
      </c>
    </row>
    <row r="7">
      <c r="A7" s="56" t="n"/>
      <c r="B7" s="56" t="n"/>
      <c r="C7" s="56" t="n"/>
      <c r="D7" s="56" t="n"/>
      <c r="E7" s="56" t="n"/>
      <c r="F7" s="56" t="inlineStr">
        <is>
          <t>Fund Management (GP, AM)</t>
        </is>
      </c>
      <c r="G7" s="56" t="n"/>
      <c r="H7" s="56" t="n"/>
      <c r="I7" s="56" t="n"/>
      <c r="J7" s="56" t="n"/>
      <c r="K7" s="56" t="n"/>
      <c r="L7" s="56" t="n"/>
      <c r="M7" s="56" t="n"/>
      <c r="N7" s="56" t="n"/>
      <c r="O7" s="56" t="n"/>
      <c r="P7" s="56" t="n"/>
      <c r="Q7" s="56" t="inlineStr">
        <is>
          <t>5. Build Standardized Process</t>
        </is>
      </c>
    </row>
    <row r="8">
      <c r="A8" s="56" t="n"/>
      <c r="B8" s="56" t="n"/>
      <c r="C8" s="56" t="n"/>
      <c r="D8" s="56" t="n"/>
      <c r="E8" s="56" t="n"/>
      <c r="F8" s="56" t="n"/>
      <c r="G8" s="56" t="n"/>
      <c r="H8" s="56" t="n"/>
      <c r="I8" s="56" t="n"/>
      <c r="J8" s="56" t="n"/>
      <c r="K8" s="56" t="n"/>
      <c r="L8" s="56" t="n"/>
      <c r="M8" s="56" t="n"/>
      <c r="N8" s="56" t="n"/>
      <c r="O8" s="56" t="n"/>
      <c r="P8" s="56" t="n"/>
      <c r="Q8" s="56" t="inlineStr">
        <is>
          <t>6. Centralized Governance</t>
        </is>
      </c>
    </row>
    <row r="9">
      <c r="A9" s="56" t="n"/>
      <c r="B9" s="56" t="n"/>
      <c r="C9" s="56" t="n"/>
      <c r="D9" s="56" t="n"/>
      <c r="E9" s="56" t="n"/>
      <c r="F9" s="56" t="n"/>
      <c r="G9" s="56" t="n"/>
      <c r="H9" s="56" t="n"/>
      <c r="I9" s="56" t="n"/>
      <c r="J9" s="56" t="n"/>
      <c r="K9" s="56" t="n"/>
      <c r="L9" s="56" t="n"/>
      <c r="M9" s="56" t="n"/>
      <c r="N9" s="56" t="n"/>
      <c r="O9" s="56" t="n"/>
      <c r="P9" s="56" t="n"/>
      <c r="Q9" s="56" t="inlineStr">
        <is>
          <t>7. Prepare to be admired company</t>
        </is>
      </c>
    </row>
    <row r="10">
      <c r="A10" s="56" t="inlineStr">
        <is>
          <t>Phase 2</t>
        </is>
      </c>
      <c r="B10" s="56" t="inlineStr">
        <is>
          <t>(Change of country leader)</t>
        </is>
      </c>
      <c r="C10" s="56" t="inlineStr">
        <is>
          <t>&gt; 15 projects developed</t>
        </is>
      </c>
      <c r="D10" s="56" t="inlineStr">
        <is>
          <t>Prime location only</t>
        </is>
      </c>
      <c r="E10" s="56" t="n"/>
      <c r="F10" s="56" t="n"/>
      <c r="G10" s="56" t="n"/>
      <c r="H10" s="56" t="inlineStr">
        <is>
          <t>Phase 2</t>
        </is>
      </c>
      <c r="I10" s="56" t="n"/>
      <c r="J10" s="56" t="n"/>
      <c r="K10" s="56" t="n"/>
      <c r="L10" s="56" t="n"/>
      <c r="M10" s="56" t="n"/>
      <c r="N10" s="56" t="n"/>
      <c r="O10" s="56" t="n"/>
      <c r="P10" s="56" t="n"/>
      <c r="Q10" s="56" t="n"/>
    </row>
    <row r="11">
      <c r="A11" s="56" t="n"/>
      <c r="B11" s="56" t="inlineStr">
        <is>
          <t>Aging &amp; lower birth</t>
        </is>
      </c>
      <c r="C11" s="56" t="n"/>
      <c r="D11" s="56" t="inlineStr">
        <is>
          <t>Top tier 1, 2 city</t>
        </is>
      </c>
      <c r="E11" s="56" t="n"/>
      <c r="F11" s="56" t="n"/>
      <c r="G11" s="56" t="n"/>
      <c r="H11" s="56" t="n"/>
      <c r="I11" s="56" t="n"/>
      <c r="J11" s="56" t="n"/>
      <c r="K11" s="56" t="n"/>
      <c r="L11" s="56" t="n"/>
      <c r="M11" s="56" t="n"/>
      <c r="N11" s="56" t="n"/>
      <c r="O11" s="56" t="inlineStr">
        <is>
          <t>Phase 2</t>
        </is>
      </c>
      <c r="P11" s="56" t="inlineStr">
        <is>
          <t>1-3B</t>
        </is>
      </c>
      <c r="Q11" s="56" t="inlineStr">
        <is>
          <t xml:space="preserve">1. Core competency can be repeated in each new business model at every layer of management </t>
        </is>
      </c>
    </row>
    <row r="12">
      <c r="A12" s="56" t="n"/>
      <c r="B12" s="56" t="inlineStr">
        <is>
          <t>Peak of sustainability consciousness</t>
        </is>
      </c>
      <c r="C12" s="56" t="n"/>
      <c r="D12" s="56" t="inlineStr">
        <is>
          <t>Subway hub</t>
        </is>
      </c>
      <c r="E12" s="56" t="n"/>
      <c r="F12" s="56" t="n"/>
      <c r="G12" s="56" t="n"/>
      <c r="H12" s="56" t="n"/>
      <c r="I12" s="56" t="n"/>
      <c r="J12" s="56" t="n"/>
      <c r="K12" s="56" t="n"/>
      <c r="L12" s="56" t="n"/>
      <c r="M12" s="56" t="n"/>
      <c r="N12" s="56" t="n"/>
      <c r="O12" s="56" t="n"/>
      <c r="P12" s="56" t="n"/>
      <c r="Q12" s="56" t="inlineStr">
        <is>
          <t>2. Commercialise/Franchise "Star Product"  (globalised, patents- innovative award)</t>
        </is>
      </c>
    </row>
    <row r="13">
      <c r="A13" s="56" t="n"/>
      <c r="B13" s="56" t="inlineStr">
        <is>
          <t>Limited resource</t>
        </is>
      </c>
      <c r="C13" s="56" t="n"/>
      <c r="D13" s="56" t="inlineStr">
        <is>
          <t>Thailand 50%</t>
        </is>
      </c>
      <c r="E13" s="56" t="n"/>
      <c r="F13" s="56" t="n"/>
      <c r="G13" s="56" t="n"/>
      <c r="H13" s="56" t="n"/>
      <c r="I13" s="56" t="n"/>
      <c r="J13" s="56" t="n"/>
      <c r="K13" s="56" t="n"/>
      <c r="L13" s="56" t="n"/>
      <c r="M13" s="56" t="n"/>
      <c r="N13" s="56" t="n"/>
      <c r="O13" s="56" t="n"/>
      <c r="P13" s="56" t="n"/>
      <c r="Q13" s="56" t="inlineStr">
        <is>
          <t>3. Focus on Customer Excellence</t>
        </is>
      </c>
    </row>
    <row r="14">
      <c r="A14" s="56" t="n"/>
      <c r="B14" s="56" t="inlineStr">
        <is>
          <t>Health and Well being</t>
        </is>
      </c>
      <c r="C14" s="56" t="n"/>
      <c r="D14" s="56" t="inlineStr">
        <is>
          <t>China 50%</t>
        </is>
      </c>
      <c r="E14" s="56" t="n"/>
      <c r="F14" s="56" t="n"/>
      <c r="G14" s="56" t="n"/>
      <c r="H14" s="56" t="n"/>
      <c r="I14" s="56" t="n"/>
      <c r="J14" s="56" t="n"/>
      <c r="K14" s="56" t="n"/>
      <c r="L14" s="56" t="n"/>
      <c r="M14" s="56" t="n"/>
      <c r="N14" s="56" t="n"/>
      <c r="O14" s="56" t="n"/>
      <c r="P14" s="56" t="n"/>
      <c r="Q14" s="56" t="inlineStr">
        <is>
          <t>4. High industry awareness, strong chain synergy</t>
        </is>
      </c>
    </row>
    <row r="15">
      <c r="A15" s="56" t="n"/>
      <c r="B15" s="56" t="n"/>
      <c r="C15" s="56" t="n"/>
      <c r="D15" s="56" t="inlineStr">
        <is>
          <t>Myanmar %</t>
        </is>
      </c>
      <c r="E15" s="56" t="n"/>
      <c r="F15" s="56" t="n"/>
      <c r="G15" s="56" t="n"/>
      <c r="H15" s="56" t="n"/>
      <c r="I15" s="56" t="n"/>
      <c r="J15" s="56" t="n"/>
      <c r="K15" s="56" t="n"/>
      <c r="L15" s="56" t="n"/>
      <c r="M15" s="56" t="n"/>
      <c r="N15" s="56" t="n"/>
      <c r="O15" s="56" t="n"/>
      <c r="P15" s="56" t="n"/>
      <c r="Q15" s="56" t="inlineStr">
        <is>
          <t>5. Simplified &amp; Systematic Process</t>
        </is>
      </c>
    </row>
    <row r="16">
      <c r="A16" s="56" t="n"/>
      <c r="B16" s="56" t="n"/>
      <c r="C16" s="56" t="n"/>
      <c r="D16" s="56" t="n"/>
      <c r="E16" s="56" t="n"/>
      <c r="F16" s="56" t="n"/>
      <c r="G16" s="56" t="n"/>
      <c r="H16" s="56" t="n"/>
      <c r="I16" s="56" t="n"/>
      <c r="J16" s="56" t="n"/>
      <c r="K16" s="56" t="n"/>
      <c r="L16" s="56" t="n"/>
      <c r="M16" s="56" t="n"/>
      <c r="N16" s="56" t="n"/>
      <c r="O16" s="56" t="n"/>
      <c r="P16" s="56" t="n"/>
      <c r="Q16" s="56" t="inlineStr">
        <is>
          <t>6. Authorized, delegated, listed company structure</t>
        </is>
      </c>
    </row>
    <row r="17">
      <c r="A17" s="56" t="inlineStr">
        <is>
          <t>Phase 3</t>
        </is>
      </c>
      <c r="B17" s="56" t="inlineStr">
        <is>
          <t>Wild Cards (Climate, calatropic)</t>
        </is>
      </c>
      <c r="C17" s="56" t="inlineStr">
        <is>
          <t>&gt; 25 projects developed</t>
        </is>
      </c>
      <c r="D17" s="56" t="inlineStr">
        <is>
          <t>Thailand 50%</t>
        </is>
      </c>
      <c r="E17" s="56" t="n"/>
      <c r="F17" s="56" t="n"/>
      <c r="G17" s="56" t="n"/>
      <c r="H17" s="56" t="inlineStr">
        <is>
          <t>Phase 3</t>
        </is>
      </c>
      <c r="I17" s="56" t="n"/>
      <c r="J17" s="56" t="n"/>
      <c r="K17" s="56" t="n"/>
      <c r="L17" s="56" t="n"/>
      <c r="M17" s="56" t="n"/>
      <c r="N17" s="56" t="n"/>
      <c r="O17" s="56" t="n"/>
      <c r="P17" s="56" t="n"/>
      <c r="Q17" s="56" t="inlineStr">
        <is>
          <t>7. Be Asia's most admired company</t>
        </is>
      </c>
    </row>
    <row r="18">
      <c r="A18" s="56" t="n"/>
      <c r="B18" s="56" t="inlineStr">
        <is>
          <t>Change of management</t>
        </is>
      </c>
      <c r="C18" s="56" t="n"/>
      <c r="D18" s="56" t="inlineStr">
        <is>
          <t>China 50%</t>
        </is>
      </c>
      <c r="E18" s="56" t="n"/>
      <c r="F18" s="56" t="n"/>
      <c r="G18" s="56" t="n"/>
      <c r="H18" s="56" t="n"/>
      <c r="I18" s="56" t="n"/>
      <c r="J18" s="56" t="n"/>
      <c r="K18" s="56" t="n"/>
      <c r="L18" s="56" t="n"/>
      <c r="M18" s="56" t="n"/>
      <c r="N18" s="56" t="n"/>
      <c r="O18" s="56" t="n"/>
      <c r="P18" s="56" t="n"/>
      <c r="Q18" s="56" t="n"/>
    </row>
    <row r="19">
      <c r="A19" s="56" t="n"/>
      <c r="B19" s="56" t="inlineStr">
        <is>
          <t>GDP Shift to India/South Africa</t>
        </is>
      </c>
      <c r="C19" s="56" t="n"/>
      <c r="D19" s="56" t="inlineStr">
        <is>
          <t>Myanmar %</t>
        </is>
      </c>
      <c r="E19" s="56" t="n"/>
      <c r="F19" s="56" t="n"/>
      <c r="G19" s="56" t="n"/>
      <c r="H19" s="56" t="n"/>
      <c r="I19" s="56" t="n"/>
      <c r="J19" s="56" t="n"/>
      <c r="K19" s="56" t="n"/>
      <c r="L19" s="56" t="n"/>
      <c r="M19" s="56" t="n"/>
      <c r="N19" s="56" t="n"/>
      <c r="O19" s="56" t="inlineStr">
        <is>
          <t>Phase 3</t>
        </is>
      </c>
      <c r="P19" s="56" t="inlineStr">
        <is>
          <t>3-5B</t>
        </is>
      </c>
      <c r="Q19" s="56" t="inlineStr">
        <is>
          <t>1. Core competency can be repeated by new Family Foundation generation</t>
        </is>
      </c>
    </row>
    <row r="20">
      <c r="A20" s="56" t="n"/>
      <c r="B20" s="56" t="inlineStr">
        <is>
          <t>Robots</t>
        </is>
      </c>
      <c r="C20" s="56" t="n"/>
      <c r="D20" s="56" t="inlineStr">
        <is>
          <t>India %</t>
        </is>
      </c>
      <c r="E20" s="56" t="n"/>
      <c r="F20" s="56" t="n"/>
      <c r="G20" s="56" t="n"/>
      <c r="H20" s="56" t="n"/>
      <c r="I20" s="56" t="n"/>
      <c r="J20" s="56" t="n"/>
      <c r="K20" s="56" t="n"/>
      <c r="L20" s="56" t="n"/>
      <c r="M20" s="56" t="n"/>
      <c r="N20" s="56" t="n"/>
      <c r="O20" s="56" t="n"/>
      <c r="P20" s="56" t="n"/>
      <c r="Q20" s="56" t="inlineStr">
        <is>
          <t>2. Be Asia's innovative Company</t>
        </is>
      </c>
    </row>
    <row r="21">
      <c r="A21" s="56" t="n"/>
      <c r="B21" s="56" t="inlineStr">
        <is>
          <t>Health and Well being</t>
        </is>
      </c>
      <c r="C21" s="56" t="n"/>
      <c r="D21" s="56" t="n"/>
      <c r="E21" s="56" t="n"/>
      <c r="F21" s="56" t="n"/>
      <c r="G21" s="56" t="n"/>
      <c r="H21" s="56" t="n"/>
      <c r="I21" s="56" t="n"/>
      <c r="J21" s="56" t="n"/>
      <c r="K21" s="56" t="n"/>
      <c r="L21" s="56" t="n"/>
      <c r="M21" s="56" t="n"/>
      <c r="N21" s="56" t="n"/>
      <c r="O21" s="56" t="n"/>
      <c r="P21" s="56" t="n"/>
      <c r="Q21" s="56" t="inlineStr">
        <is>
          <t>3. Continued focus on product and customer excellence through innovative network</t>
        </is>
      </c>
    </row>
    <row r="22">
      <c r="A22" s="56" t="n"/>
      <c r="B22" s="56" t="inlineStr">
        <is>
          <t>Slower growth &amp; peak of population</t>
        </is>
      </c>
      <c r="C22" s="56" t="n"/>
      <c r="D22" s="56" t="n"/>
      <c r="E22" s="56" t="n"/>
      <c r="F22" s="56" t="n"/>
      <c r="G22" s="56" t="n"/>
      <c r="H22" s="56" t="n"/>
      <c r="I22" s="56" t="n"/>
      <c r="J22" s="56" t="n"/>
      <c r="K22" s="56" t="n"/>
      <c r="L22" s="56" t="n"/>
      <c r="M22" s="56" t="n"/>
      <c r="N22" s="56" t="n"/>
      <c r="O22" s="56" t="n"/>
      <c r="P22" s="56" t="n"/>
      <c r="Q22" s="56" t="inlineStr">
        <is>
          <t>4. Opportunity to use competency to shift to new generation- value added industry related to real estate</t>
        </is>
      </c>
    </row>
    <row r="23">
      <c r="A23" s="56" t="n"/>
      <c r="B23" s="56" t="n"/>
      <c r="C23" s="56" t="n"/>
      <c r="D23" s="56" t="n"/>
      <c r="E23" s="56" t="n"/>
      <c r="F23" s="56" t="n"/>
      <c r="G23" s="56" t="n"/>
      <c r="H23" s="56" t="n"/>
      <c r="I23" s="56" t="n"/>
      <c r="J23" s="56" t="n"/>
      <c r="K23" s="56" t="n"/>
      <c r="L23" s="56" t="n"/>
      <c r="M23" s="56" t="n"/>
      <c r="N23" s="56" t="n"/>
      <c r="O23" s="56" t="n"/>
      <c r="P23" s="56" t="n"/>
      <c r="Q23" s="56" t="inlineStr">
        <is>
          <t>5. Aglie&amp; Completed Global Alliance System</t>
        </is>
      </c>
    </row>
    <row r="24">
      <c r="A24" s="56" t="n"/>
      <c r="B24" s="56" t="n"/>
      <c r="C24" s="56" t="n"/>
      <c r="D24" s="56" t="n"/>
      <c r="E24" s="56" t="n"/>
      <c r="F24" s="56" t="n"/>
      <c r="G24" s="56" t="n"/>
      <c r="H24" s="56" t="n"/>
      <c r="I24" s="56" t="n"/>
      <c r="J24" s="56" t="n"/>
      <c r="K24" s="56" t="n"/>
      <c r="L24" s="56" t="n"/>
      <c r="M24" s="56" t="n"/>
      <c r="N24" s="56" t="n"/>
      <c r="O24" s="56" t="n"/>
      <c r="P24" s="56" t="n"/>
      <c r="Q24" s="56" t="inlineStr">
        <is>
          <t>6. Diversified, multi-country listed company structure</t>
        </is>
      </c>
    </row>
    <row r="25">
      <c r="A25" s="56" t="n"/>
      <c r="B25" s="56" t="n"/>
      <c r="C25" s="56" t="n"/>
      <c r="D25" s="56" t="n"/>
      <c r="E25" s="56" t="n"/>
      <c r="F25" s="56" t="n"/>
      <c r="G25" s="56" t="n"/>
      <c r="H25" s="56" t="n"/>
      <c r="I25" s="56" t="n"/>
      <c r="J25" s="56" t="n"/>
      <c r="K25" s="56" t="n"/>
      <c r="L25" s="56" t="n"/>
      <c r="M25" s="56" t="n"/>
      <c r="N25" s="56" t="n"/>
      <c r="O25" s="56" t="n"/>
      <c r="P25" s="56" t="n"/>
      <c r="Q25" s="56" t="inlineStr">
        <is>
          <t>7. Be Asia's most admired company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dc:creator>
  <dcterms:created xmlns:dcterms="http://purl.org/dc/terms/" xmlns:xsi="http://www.w3.org/2001/XMLSchema-instance" xsi:type="dcterms:W3CDTF">2013-04-01T14:51:49Z</dcterms:created>
  <dcterms:modified xmlns:dcterms="http://purl.org/dc/terms/" xmlns:xsi="http://www.w3.org/2001/XMLSchema-instance" xsi:type="dcterms:W3CDTF">2026-05-31T18:30:55Z</dcterms:modified>
  <cp:lastModifiedBy>Anix Lynch</cp:lastModifiedBy>
</cp:coreProperties>
</file>
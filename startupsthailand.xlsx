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426"/>
  <workbookPr showInkAnnotation="0" autoCompressPictures="0"/>
  <bookViews>
    <workbookView xWindow="0" yWindow="0" windowWidth="25600" windowHeight="14540" tabRatio="500"/>
  </bookViews>
  <sheets>
    <sheet name="Sheet1" sheetId="1" r:id="rId1"/>
    <sheet name="Sheet2" sheetId="2" r:id="rId2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T29" i="1" l="1"/>
  <c r="R29" i="1"/>
  <c r="S29" i="1"/>
  <c r="S23" i="1"/>
  <c r="S24" i="1"/>
  <c r="S25" i="1"/>
  <c r="S26" i="1"/>
  <c r="S27" i="1"/>
  <c r="S28" i="1"/>
  <c r="S22" i="1"/>
  <c r="R23" i="1"/>
  <c r="R24" i="1"/>
  <c r="R25" i="1"/>
  <c r="R26" i="1"/>
  <c r="R27" i="1"/>
  <c r="R28" i="1"/>
  <c r="R22" i="1"/>
  <c r="J14" i="1"/>
  <c r="C23" i="1"/>
  <c r="B9" i="1"/>
  <c r="B34" i="1"/>
  <c r="C34" i="1"/>
  <c r="C35" i="1"/>
  <c r="D42" i="1"/>
  <c r="D34" i="1"/>
  <c r="D23" i="1"/>
  <c r="D35" i="1"/>
  <c r="D24" i="1"/>
  <c r="D36" i="1"/>
  <c r="E42" i="1"/>
  <c r="E34" i="1"/>
  <c r="E23" i="1"/>
  <c r="E35" i="1"/>
  <c r="E24" i="1"/>
  <c r="E36" i="1"/>
  <c r="E25" i="1"/>
  <c r="E37" i="1"/>
  <c r="F42" i="1"/>
  <c r="F34" i="1"/>
  <c r="F23" i="1"/>
  <c r="F35" i="1"/>
  <c r="F24" i="1"/>
  <c r="F36" i="1"/>
  <c r="F25" i="1"/>
  <c r="F37" i="1"/>
  <c r="F26" i="1"/>
  <c r="F38" i="1"/>
  <c r="G42" i="1"/>
  <c r="C39" i="1"/>
  <c r="D39" i="1"/>
  <c r="E39" i="1"/>
  <c r="F39" i="1"/>
  <c r="G27" i="1"/>
  <c r="G39" i="1"/>
  <c r="G26" i="1"/>
  <c r="H27" i="1"/>
  <c r="H39" i="1"/>
  <c r="G25" i="1"/>
  <c r="H26" i="1"/>
  <c r="I27" i="1"/>
  <c r="I39" i="1"/>
  <c r="G24" i="1"/>
  <c r="H25" i="1"/>
  <c r="I26" i="1"/>
  <c r="J27" i="1"/>
  <c r="J39" i="1"/>
  <c r="G23" i="1"/>
  <c r="H24" i="1"/>
  <c r="I25" i="1"/>
  <c r="J26" i="1"/>
  <c r="K27" i="1"/>
  <c r="K39" i="1"/>
  <c r="H23" i="1"/>
  <c r="I24" i="1"/>
  <c r="J25" i="1"/>
  <c r="K26" i="1"/>
  <c r="L27" i="1"/>
  <c r="L39" i="1"/>
  <c r="I23" i="1"/>
  <c r="J24" i="1"/>
  <c r="K25" i="1"/>
  <c r="L26" i="1"/>
  <c r="M27" i="1"/>
  <c r="M39" i="1"/>
  <c r="J23" i="1"/>
  <c r="K24" i="1"/>
  <c r="L25" i="1"/>
  <c r="M26" i="1"/>
  <c r="N27" i="1"/>
  <c r="N39" i="1"/>
  <c r="K23" i="1"/>
  <c r="L24" i="1"/>
  <c r="M25" i="1"/>
  <c r="N26" i="1"/>
  <c r="O27" i="1"/>
  <c r="O39" i="1"/>
  <c r="L23" i="1"/>
  <c r="M24" i="1"/>
  <c r="N25" i="1"/>
  <c r="O26" i="1"/>
  <c r="P27" i="1"/>
  <c r="P39" i="1"/>
  <c r="J19" i="1"/>
  <c r="C40" i="1"/>
  <c r="D40" i="1"/>
  <c r="E40" i="1"/>
  <c r="F40" i="1"/>
  <c r="G28" i="1"/>
  <c r="G40" i="1"/>
  <c r="H28" i="1"/>
  <c r="H40" i="1"/>
  <c r="I28" i="1"/>
  <c r="I40" i="1"/>
  <c r="J28" i="1"/>
  <c r="J40" i="1"/>
  <c r="K28" i="1"/>
  <c r="K40" i="1"/>
  <c r="L28" i="1"/>
  <c r="L40" i="1"/>
  <c r="M28" i="1"/>
  <c r="M40" i="1"/>
  <c r="N28" i="1"/>
  <c r="N40" i="1"/>
  <c r="O28" i="1"/>
  <c r="O40" i="1"/>
  <c r="P28" i="1"/>
  <c r="P40" i="1"/>
  <c r="C42" i="1"/>
  <c r="C37" i="1"/>
  <c r="D37" i="1"/>
  <c r="G37" i="1"/>
  <c r="H37" i="1"/>
  <c r="I37" i="1"/>
  <c r="J37" i="1"/>
  <c r="K37" i="1"/>
  <c r="L37" i="1"/>
  <c r="M37" i="1"/>
  <c r="N37" i="1"/>
  <c r="M23" i="1"/>
  <c r="N24" i="1"/>
  <c r="O25" i="1"/>
  <c r="O37" i="1"/>
  <c r="N23" i="1"/>
  <c r="O24" i="1"/>
  <c r="P25" i="1"/>
  <c r="P37" i="1"/>
  <c r="C38" i="1"/>
  <c r="D38" i="1"/>
  <c r="E38" i="1"/>
  <c r="G38" i="1"/>
  <c r="H38" i="1"/>
  <c r="I38" i="1"/>
  <c r="J38" i="1"/>
  <c r="K38" i="1"/>
  <c r="L38" i="1"/>
  <c r="M38" i="1"/>
  <c r="N38" i="1"/>
  <c r="O38" i="1"/>
  <c r="P26" i="1"/>
  <c r="P38" i="1"/>
  <c r="G36" i="1"/>
  <c r="H36" i="1"/>
  <c r="I36" i="1"/>
  <c r="J36" i="1"/>
  <c r="K36" i="1"/>
  <c r="L36" i="1"/>
  <c r="M36" i="1"/>
  <c r="N36" i="1"/>
  <c r="O36" i="1"/>
  <c r="O23" i="1"/>
  <c r="P24" i="1"/>
  <c r="P36" i="1"/>
  <c r="C36" i="1"/>
  <c r="G35" i="1"/>
  <c r="H35" i="1"/>
  <c r="I35" i="1"/>
  <c r="J35" i="1"/>
  <c r="K35" i="1"/>
  <c r="L35" i="1"/>
  <c r="M35" i="1"/>
  <c r="N35" i="1"/>
  <c r="O35" i="1"/>
  <c r="P23" i="1"/>
  <c r="P35" i="1"/>
  <c r="G34" i="1"/>
  <c r="H34" i="1"/>
  <c r="I34" i="1"/>
  <c r="J34" i="1"/>
  <c r="K34" i="1"/>
  <c r="L34" i="1"/>
  <c r="M34" i="1"/>
  <c r="N34" i="1"/>
  <c r="O34" i="1"/>
  <c r="P34" i="1"/>
  <c r="J15" i="1"/>
  <c r="J16" i="1"/>
  <c r="J17" i="1"/>
  <c r="J13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C29" i="1"/>
  <c r="B29" i="1"/>
  <c r="B5" i="1"/>
  <c r="P42" i="1"/>
  <c r="H42" i="1"/>
  <c r="I42" i="1"/>
  <c r="J42" i="1"/>
  <c r="K42" i="1"/>
  <c r="L42" i="1"/>
  <c r="M42" i="1"/>
  <c r="N42" i="1"/>
  <c r="O42" i="1"/>
  <c r="Q42" i="1"/>
  <c r="P43" i="1"/>
  <c r="Q43" i="1"/>
  <c r="Q44" i="1"/>
  <c r="Q45" i="1"/>
</calcChain>
</file>

<file path=xl/sharedStrings.xml><?xml version="1.0" encoding="utf-8"?>
<sst xmlns="http://schemas.openxmlformats.org/spreadsheetml/2006/main" count="105" uniqueCount="88">
  <si>
    <t>GDP Thailand</t>
  </si>
  <si>
    <t>387m USD</t>
  </si>
  <si>
    <t>Objective</t>
  </si>
  <si>
    <t>of the economy</t>
  </si>
  <si>
    <t xml:space="preserve">Billion </t>
  </si>
  <si>
    <t>SET Stock Exchange</t>
  </si>
  <si>
    <t>Google</t>
  </si>
  <si>
    <t>company</t>
  </si>
  <si>
    <t>value</t>
  </si>
  <si>
    <t>funded</t>
  </si>
  <si>
    <t>Uber</t>
  </si>
  <si>
    <t>AiBnB</t>
  </si>
  <si>
    <t>Snapchat</t>
  </si>
  <si>
    <t>Comparative valuations of successful startups</t>
  </si>
  <si>
    <t>In a healthy ecosystem</t>
  </si>
  <si>
    <t>Spotify</t>
  </si>
  <si>
    <t>companies</t>
  </si>
  <si>
    <t>Seed</t>
  </si>
  <si>
    <t>Series A</t>
  </si>
  <si>
    <t>Start</t>
  </si>
  <si>
    <t>Series B</t>
  </si>
  <si>
    <t>Series C</t>
  </si>
  <si>
    <t>%</t>
  </si>
  <si>
    <t>Unicorn IPO</t>
  </si>
  <si>
    <t>Time</t>
  </si>
  <si>
    <t>3 to 4</t>
  </si>
  <si>
    <t>5  to 10</t>
  </si>
  <si>
    <t>4 to 7</t>
  </si>
  <si>
    <t>typical company value</t>
  </si>
  <si>
    <t>Super Unicorn</t>
  </si>
  <si>
    <t>uber, airbnb, alibaba, google</t>
  </si>
  <si>
    <t>waze</t>
  </si>
  <si>
    <t>acommerce</t>
  </si>
  <si>
    <t>Total value to economy</t>
  </si>
  <si>
    <t>Exit</t>
  </si>
  <si>
    <t xml:space="preserve">Total Value created in Year </t>
  </si>
  <si>
    <t>Startup Creation</t>
  </si>
  <si>
    <t>Startup Accumulation</t>
  </si>
  <si>
    <t>Fail</t>
  </si>
  <si>
    <t>Value Successfully Exited below unicorn</t>
  </si>
  <si>
    <t>Total value</t>
  </si>
  <si>
    <t>from sub Unicorns</t>
  </si>
  <si>
    <t>from Unicorns</t>
  </si>
  <si>
    <t>million</t>
  </si>
  <si>
    <t>objective</t>
  </si>
  <si>
    <t>how much valuation of startups</t>
  </si>
  <si>
    <t>Value from Unicorns</t>
  </si>
  <si>
    <t>Start (change these numbers at will)</t>
  </si>
  <si>
    <t>Internal Engineers</t>
  </si>
  <si>
    <t>Internal Entrepreneurs</t>
  </si>
  <si>
    <t>External Engineers</t>
  </si>
  <si>
    <t>External Entrepreneurs</t>
  </si>
  <si>
    <t>Mentors and Experts</t>
  </si>
  <si>
    <t>Culture</t>
  </si>
  <si>
    <t>Short term</t>
  </si>
  <si>
    <t>Medium Term</t>
  </si>
  <si>
    <t>Programs of Pre-Accelerator (learn to build a startup) like TetuanValleySchool in Spain</t>
  </si>
  <si>
    <t>Tax incentives to build the company in Thailand instead of moving abroad to create it</t>
  </si>
  <si>
    <t>Enable Stock Option plans to incentivize staying in Thailand</t>
  </si>
  <si>
    <t>Low tax on capital gains for successful Startup exit in order to retain talent as 2nd time Entrepreneur</t>
  </si>
  <si>
    <t>Technical Visa to people in the region, including Vietnam, etc.</t>
  </si>
  <si>
    <t>Create internship program to help our wannapreneurs be part of a startup abroad, with the internship paid by Thai Gov, so they can learn and come back</t>
  </si>
  <si>
    <t>Startup Visa and create a startup paradise of Tax for foreigners to choose BKK over SG or HK for new startups or Asian operations</t>
  </si>
  <si>
    <t>Facilitate onboarding of entrepreneurs in the region: housing, coworking, banking, etc. simple to use</t>
  </si>
  <si>
    <t>Free English academy</t>
  </si>
  <si>
    <t>Increase the perception of tech and startups, so that children are more comfortable with their parents</t>
  </si>
  <si>
    <t>Accept failure culture</t>
  </si>
  <si>
    <t>Public universities update their technical programmes to cope with new technology</t>
  </si>
  <si>
    <t>Coding atschools since 5 years old, like in UK</t>
  </si>
  <si>
    <t>English standard language in universities</t>
  </si>
  <si>
    <t>Government subsidies on venture capital, matching, etc. for setting up shop in Thailand</t>
  </si>
  <si>
    <t xml:space="preserve">subsidize Hackademy programs to teach people to code in 3 months. General Assembly, IronHack, etc. </t>
  </si>
  <si>
    <t>Create networks of mentors to whom entrepreneurs can reach out. Focus on Thai with previous startup successes, diaspora. Create a forum for them to present, participate, give them credit</t>
  </si>
  <si>
    <t>Repeat the success of South Summit in Spain (started in 2012, now brings all the top VCs in the world). VC Investment forums, yearly events</t>
  </si>
  <si>
    <t>Create ways for Facebook/Google etc to create Tech centres in Thailand. Those engineers can learn best practices and be part of the ecosystem.</t>
  </si>
  <si>
    <t>Create culture of give back for successful entrepreneurs from Thailand</t>
  </si>
  <si>
    <t>Reduce income tax for engineers</t>
  </si>
  <si>
    <t>Reduce income tax for engineers, incentivize coming to Thailand to be an engineer</t>
  </si>
  <si>
    <t>Create FreeInnovation zone to have competitive advantage over other countries (drones, sharing economy, bitcoin, etc)</t>
  </si>
  <si>
    <t>Create FreeInnovation zone to incentivize coming to Thailand to build innovative rpoducts without risk of regulation</t>
  </si>
  <si>
    <t>Build education programs and sponsored visits to Silicon Valley for top entrepreneurs. Partner with e27, etc.</t>
  </si>
  <si>
    <t>Build education programs about what is entrepreneurship and why you can be an entrepreneur</t>
  </si>
  <si>
    <t>Impact</t>
  </si>
  <si>
    <t>Easiness</t>
  </si>
  <si>
    <t>bring back disapora (buy out)</t>
  </si>
  <si>
    <t>jobs created</t>
  </si>
  <si>
    <t>jobs</t>
  </si>
  <si>
    <t>jobs indirect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</si>
</sst>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_-* #,##0_-;\-* #,##0_-;_-* &quot;-&quot;??_-;_-@_-"/>
    <numFmt numFmtId="165" formatCode="0.0%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4"/>
      <name val="Calibri"/>
      <scheme val="minor"/>
    </font>
    <font>
      <b/>
      <sz val="12"/>
      <color theme="4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7">
    <xf numFmtId="0" fontId="0" fillId="0" borderId="0" xfId="0"/>
    <xf numFmtId="9" fontId="0" fillId="0" borderId="0" xfId="0" applyNumberFormat="1"/>
    <xf numFmtId="0" fontId="2" fillId="0" borderId="0" xfId="0" applyFont="1"/>
    <xf numFmtId="9" fontId="2" fillId="0" borderId="0" xfId="0" applyNumberFormat="1" applyFont="1"/>
    <xf numFmtId="43" fontId="0" fillId="0" borderId="0" xfId="0" applyNumberFormat="1"/>
    <xf numFmtId="0" fontId="5" fillId="0" borderId="0" xfId="0" applyFont="1"/>
    <xf numFmtId="164" fontId="0" fillId="0" borderId="0" xfId="1" applyNumberFormat="1" applyFont="1"/>
    <xf numFmtId="164" fontId="2" fillId="0" borderId="0" xfId="1" applyNumberFormat="1" applyFont="1"/>
    <xf numFmtId="164" fontId="2" fillId="0" borderId="0" xfId="0" applyNumberFormat="1" applyFont="1"/>
    <xf numFmtId="164" fontId="1" fillId="0" borderId="0" xfId="1" applyNumberFormat="1" applyFont="1"/>
    <xf numFmtId="165" fontId="2" fillId="0" borderId="0" xfId="2" applyNumberFormat="1" applyFont="1"/>
    <xf numFmtId="0" fontId="5" fillId="0" borderId="0" xfId="0" applyFont="1" applyAlignment="1">
      <alignment horizontal="center"/>
    </xf>
    <xf numFmtId="9" fontId="5" fillId="0" borderId="0" xfId="0" applyNumberFormat="1" applyFont="1"/>
    <xf numFmtId="0" fontId="6" fillId="0" borderId="0" xfId="0" applyFont="1"/>
    <xf numFmtId="43" fontId="6" fillId="0" borderId="0" xfId="1" applyFont="1"/>
    <xf numFmtId="16" fontId="5" fillId="0" borderId="0" xfId="0" applyNumberFormat="1" applyFont="1" applyAlignment="1">
      <alignment horizontal="center"/>
    </xf>
    <xf numFmtId="43" fontId="5" fillId="0" borderId="0" xfId="1" applyFont="1"/>
    <xf numFmtId="0" fontId="0" fillId="2" borderId="2" xfId="0" applyFill="1" applyBorder="1"/>
    <xf numFmtId="0" fontId="0" fillId="2" borderId="3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2" fillId="4" borderId="1" xfId="0" applyFont="1" applyFill="1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3" fontId="0" fillId="0" borderId="0" xfId="0" applyNumberFormat="1"/>
    <xf numFmtId="43" fontId="0" fillId="0" borderId="0" xfId="1" applyNumberFormat="1" applyFont="1"/>
  </cellXfs>
  <cellStyles count="65">
    <cellStyle name="Comma" xfId="1" builtinId="3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Normal" xfId="0" builtinId="0"/>
    <cellStyle name="Percent" xfId="2" builtinId="5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Sheet1!$B$42</c:f>
              <c:strCache>
                <c:ptCount val="1"/>
              </c:strCache>
            </c:strRef>
          </c:tx>
          <c:invertIfNegative val="0"/>
          <c:val>
            <c:numRef>
              <c:f>Sheet1!$C$42:$P$42</c:f>
              <c:numCache>
                <c:formatCode>_-* #,##0_-;\-* #,##0_-;_-* "-"??_-;_-@_-</c:formatCode>
                <c:ptCount val="14"/>
                <c:pt idx="0">
                  <c:v>0.1</c:v>
                </c:pt>
                <c:pt idx="1">
                  <c:v>0.8155</c:v>
                </c:pt>
                <c:pt idx="2">
                  <c:v>4.528915</c:v>
                </c:pt>
                <c:pt idx="3">
                  <c:v>31.36237271470588</c:v>
                </c:pt>
                <c:pt idx="4">
                  <c:v>157.7071065533962</c:v>
                </c:pt>
                <c:pt idx="5">
                  <c:v>334.2510629639367</c:v>
                </c:pt>
                <c:pt idx="6">
                  <c:v>558.617505387781</c:v>
                </c:pt>
                <c:pt idx="7">
                  <c:v>845.921573711277</c:v>
                </c:pt>
                <c:pt idx="8">
                  <c:v>1204.736477534775</c:v>
                </c:pt>
                <c:pt idx="9">
                  <c:v>1624.739629854025</c:v>
                </c:pt>
                <c:pt idx="10">
                  <c:v>2097.165437391639</c:v>
                </c:pt>
                <c:pt idx="11">
                  <c:v>2614.451907569615</c:v>
                </c:pt>
                <c:pt idx="12">
                  <c:v>3169.67882293521</c:v>
                </c:pt>
                <c:pt idx="13">
                  <c:v>3754.804132429472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66080472"/>
        <c:axId val="2066077448"/>
      </c:barChart>
      <c:catAx>
        <c:axId val="2066080472"/>
        <c:scaling>
          <c:orientation val="minMax"/>
        </c:scaling>
        <c:delete val="0"/>
        <c:axPos val="b"/>
        <c:majorTickMark val="out"/>
        <c:minorTickMark val="none"/>
        <c:tickLblPos val="nextTo"/>
        <c:crossAx val="2066077448"/>
        <c:crosses val="autoZero"/>
        <c:auto val="1"/>
        <c:lblAlgn val="ctr"/>
        <c:lblOffset val="100"/>
        <c:noMultiLvlLbl val="0"/>
      </c:catAx>
      <c:valAx>
        <c:axId val="2066077448"/>
        <c:scaling>
          <c:orientation val="minMax"/>
        </c:scaling>
        <c:delete val="0"/>
        <c:axPos val="l"/>
        <c:majorGridlines/>
        <c:numFmt formatCode="_-* #,##0_-;\-* #,##0_-;_-* &quot;-&quot;??_-;_-@_-" sourceLinked="1"/>
        <c:majorTickMark val="out"/>
        <c:minorTickMark val="none"/>
        <c:tickLblPos val="nextTo"/>
        <c:crossAx val="206608047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val>
            <c:numRef>
              <c:f>Sheet1!$B$22:$P$22</c:f>
              <c:numCache>
                <c:formatCode>General</c:formatCode>
                <c:ptCount val="15"/>
                <c:pt idx="0">
                  <c:v>50.0</c:v>
                </c:pt>
                <c:pt idx="1">
                  <c:v>80.0</c:v>
                </c:pt>
                <c:pt idx="2">
                  <c:v>110.0</c:v>
                </c:pt>
                <c:pt idx="3">
                  <c:v>150.0</c:v>
                </c:pt>
                <c:pt idx="4">
                  <c:v>200.0</c:v>
                </c:pt>
                <c:pt idx="5">
                  <c:v>250.0</c:v>
                </c:pt>
                <c:pt idx="6">
                  <c:v>300.0</c:v>
                </c:pt>
                <c:pt idx="7">
                  <c:v>350.0</c:v>
                </c:pt>
                <c:pt idx="8">
                  <c:v>400.0</c:v>
                </c:pt>
                <c:pt idx="9">
                  <c:v>450.0</c:v>
                </c:pt>
                <c:pt idx="10">
                  <c:v>500.0</c:v>
                </c:pt>
                <c:pt idx="11">
                  <c:v>500.0</c:v>
                </c:pt>
                <c:pt idx="12">
                  <c:v>500.0</c:v>
                </c:pt>
                <c:pt idx="13">
                  <c:v>500.0</c:v>
                </c:pt>
                <c:pt idx="14">
                  <c:v>500.0</c:v>
                </c:pt>
              </c:numCache>
            </c:numRef>
          </c:val>
        </c:ser>
        <c:ser>
          <c:idx val="1"/>
          <c:order val="1"/>
          <c:invertIfNegative val="0"/>
          <c:val>
            <c:numRef>
              <c:f>Sheet1!$B$23:$P$23</c:f>
              <c:numCache>
                <c:formatCode>General</c:formatCode>
                <c:ptCount val="15"/>
                <c:pt idx="1">
                  <c:v>8.5</c:v>
                </c:pt>
                <c:pt idx="2">
                  <c:v>13.6</c:v>
                </c:pt>
                <c:pt idx="3">
                  <c:v>18.7</c:v>
                </c:pt>
                <c:pt idx="4">
                  <c:v>25.5</c:v>
                </c:pt>
                <c:pt idx="5">
                  <c:v>34.0</c:v>
                </c:pt>
                <c:pt idx="6">
                  <c:v>42.5</c:v>
                </c:pt>
                <c:pt idx="7">
                  <c:v>51.0</c:v>
                </c:pt>
                <c:pt idx="8">
                  <c:v>59.5</c:v>
                </c:pt>
                <c:pt idx="9">
                  <c:v>68.0</c:v>
                </c:pt>
                <c:pt idx="10">
                  <c:v>76.5</c:v>
                </c:pt>
                <c:pt idx="11">
                  <c:v>85.0</c:v>
                </c:pt>
                <c:pt idx="12">
                  <c:v>85.0</c:v>
                </c:pt>
                <c:pt idx="13">
                  <c:v>85.0</c:v>
                </c:pt>
                <c:pt idx="14">
                  <c:v>85.0</c:v>
                </c:pt>
              </c:numCache>
            </c:numRef>
          </c:val>
        </c:ser>
        <c:ser>
          <c:idx val="2"/>
          <c:order val="2"/>
          <c:invertIfNegative val="0"/>
          <c:val>
            <c:numRef>
              <c:f>Sheet1!$B$24:$P$24</c:f>
              <c:numCache>
                <c:formatCode>General</c:formatCode>
                <c:ptCount val="15"/>
                <c:pt idx="2">
                  <c:v>3.0</c:v>
                </c:pt>
                <c:pt idx="3">
                  <c:v>4.8</c:v>
                </c:pt>
                <c:pt idx="4">
                  <c:v>6.6</c:v>
                </c:pt>
                <c:pt idx="5">
                  <c:v>9.0</c:v>
                </c:pt>
                <c:pt idx="6">
                  <c:v>12.0</c:v>
                </c:pt>
                <c:pt idx="7">
                  <c:v>15.0</c:v>
                </c:pt>
                <c:pt idx="8">
                  <c:v>18.0</c:v>
                </c:pt>
                <c:pt idx="9">
                  <c:v>21.0</c:v>
                </c:pt>
                <c:pt idx="10">
                  <c:v>24.0</c:v>
                </c:pt>
                <c:pt idx="11">
                  <c:v>27.0</c:v>
                </c:pt>
                <c:pt idx="12">
                  <c:v>30.0</c:v>
                </c:pt>
                <c:pt idx="13">
                  <c:v>30.0</c:v>
                </c:pt>
                <c:pt idx="14">
                  <c:v>30.0</c:v>
                </c:pt>
              </c:numCache>
            </c:numRef>
          </c:val>
        </c:ser>
        <c:ser>
          <c:idx val="3"/>
          <c:order val="3"/>
          <c:invertIfNegative val="0"/>
          <c:val>
            <c:numRef>
              <c:f>Sheet1!$B$25:$P$25</c:f>
              <c:numCache>
                <c:formatCode>General</c:formatCode>
                <c:ptCount val="15"/>
                <c:pt idx="3">
                  <c:v>1.5</c:v>
                </c:pt>
                <c:pt idx="4">
                  <c:v>2.4</c:v>
                </c:pt>
                <c:pt idx="5">
                  <c:v>3.3</c:v>
                </c:pt>
                <c:pt idx="6">
                  <c:v>4.5</c:v>
                </c:pt>
                <c:pt idx="7">
                  <c:v>6.0</c:v>
                </c:pt>
                <c:pt idx="8">
                  <c:v>7.5</c:v>
                </c:pt>
                <c:pt idx="9">
                  <c:v>9.0</c:v>
                </c:pt>
                <c:pt idx="10">
                  <c:v>10.5</c:v>
                </c:pt>
                <c:pt idx="11">
                  <c:v>12.0</c:v>
                </c:pt>
                <c:pt idx="12">
                  <c:v>13.5</c:v>
                </c:pt>
                <c:pt idx="13">
                  <c:v>15.0</c:v>
                </c:pt>
                <c:pt idx="14">
                  <c:v>15.0</c:v>
                </c:pt>
              </c:numCache>
            </c:numRef>
          </c:val>
        </c:ser>
        <c:ser>
          <c:idx val="4"/>
          <c:order val="4"/>
          <c:invertIfNegative val="0"/>
          <c:val>
            <c:numRef>
              <c:f>Sheet1!$B$26:$P$26</c:f>
              <c:numCache>
                <c:formatCode>General</c:formatCode>
                <c:ptCount val="15"/>
                <c:pt idx="4">
                  <c:v>0.75</c:v>
                </c:pt>
                <c:pt idx="5">
                  <c:v>1.2</c:v>
                </c:pt>
                <c:pt idx="6">
                  <c:v>1.65</c:v>
                </c:pt>
                <c:pt idx="7">
                  <c:v>2.25</c:v>
                </c:pt>
                <c:pt idx="8">
                  <c:v>3.0</c:v>
                </c:pt>
                <c:pt idx="9">
                  <c:v>3.75</c:v>
                </c:pt>
                <c:pt idx="10">
                  <c:v>4.5</c:v>
                </c:pt>
                <c:pt idx="11">
                  <c:v>5.25</c:v>
                </c:pt>
                <c:pt idx="12">
                  <c:v>6.0</c:v>
                </c:pt>
                <c:pt idx="13">
                  <c:v>6.75</c:v>
                </c:pt>
                <c:pt idx="14">
                  <c:v>7.5</c:v>
                </c:pt>
              </c:numCache>
            </c:numRef>
          </c:val>
        </c:ser>
        <c:ser>
          <c:idx val="5"/>
          <c:order val="5"/>
          <c:invertIfNegative val="0"/>
          <c:val>
            <c:numRef>
              <c:f>Sheet1!$B$27:$P$27</c:f>
              <c:numCache>
                <c:formatCode>General</c:formatCode>
                <c:ptCount val="15"/>
                <c:pt idx="5">
                  <c:v>0.05</c:v>
                </c:pt>
                <c:pt idx="6">
                  <c:v>0.08</c:v>
                </c:pt>
                <c:pt idx="7">
                  <c:v>0.11</c:v>
                </c:pt>
                <c:pt idx="8">
                  <c:v>0.15</c:v>
                </c:pt>
                <c:pt idx="9">
                  <c:v>0.2</c:v>
                </c:pt>
                <c:pt idx="10">
                  <c:v>0.25</c:v>
                </c:pt>
                <c:pt idx="11">
                  <c:v>0.3</c:v>
                </c:pt>
                <c:pt idx="12">
                  <c:v>0.35</c:v>
                </c:pt>
                <c:pt idx="13">
                  <c:v>0.4</c:v>
                </c:pt>
                <c:pt idx="14">
                  <c:v>0.45</c:v>
                </c:pt>
              </c:numCache>
            </c:numRef>
          </c:val>
        </c:ser>
        <c:ser>
          <c:idx val="6"/>
          <c:order val="6"/>
          <c:invertIfNegative val="0"/>
          <c:val>
            <c:numRef>
              <c:f>Sheet1!$B$28:$P$28</c:f>
              <c:numCache>
                <c:formatCode>General</c:formatCode>
                <c:ptCount val="15"/>
                <c:pt idx="5" formatCode="_-* #,##0.00_-;\-* #,##0.00_-;_-* &quot;-&quot;??_-;_-@_-">
                  <c:v>0.0045</c:v>
                </c:pt>
                <c:pt idx="6" formatCode="_-* #,##0.00_-;\-* #,##0.00_-;_-* &quot;-&quot;??_-;_-@_-">
                  <c:v>0.0072</c:v>
                </c:pt>
                <c:pt idx="7" formatCode="_-* #,##0.00_-;\-* #,##0.00_-;_-* &quot;-&quot;??_-;_-@_-">
                  <c:v>0.0099</c:v>
                </c:pt>
                <c:pt idx="8" formatCode="_-* #,##0.00_-;\-* #,##0.00_-;_-* &quot;-&quot;??_-;_-@_-">
                  <c:v>0.0135</c:v>
                </c:pt>
                <c:pt idx="9" formatCode="_-* #,##0.00_-;\-* #,##0.00_-;_-* &quot;-&quot;??_-;_-@_-">
                  <c:v>0.018</c:v>
                </c:pt>
                <c:pt idx="10" formatCode="_-* #,##0.00_-;\-* #,##0.00_-;_-* &quot;-&quot;??_-;_-@_-">
                  <c:v>0.0225</c:v>
                </c:pt>
                <c:pt idx="11" formatCode="_-* #,##0.00_-;\-* #,##0.00_-;_-* &quot;-&quot;??_-;_-@_-">
                  <c:v>0.027</c:v>
                </c:pt>
                <c:pt idx="12" formatCode="_-* #,##0.00_-;\-* #,##0.00_-;_-* &quot;-&quot;??_-;_-@_-">
                  <c:v>0.0315</c:v>
                </c:pt>
                <c:pt idx="13" formatCode="_-* #,##0.00_-;\-* #,##0.00_-;_-* &quot;-&quot;??_-;_-@_-">
                  <c:v>0.036</c:v>
                </c:pt>
                <c:pt idx="14" formatCode="_-* #,##0.00_-;\-* #,##0.00_-;_-* &quot;-&quot;??_-;_-@_-">
                  <c:v>0.0405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65989656"/>
        <c:axId val="2065986792"/>
      </c:barChart>
      <c:catAx>
        <c:axId val="2065989656"/>
        <c:scaling>
          <c:orientation val="minMax"/>
        </c:scaling>
        <c:delete val="0"/>
        <c:axPos val="b"/>
        <c:majorTickMark val="out"/>
        <c:minorTickMark val="none"/>
        <c:tickLblPos val="nextTo"/>
        <c:crossAx val="2065986792"/>
        <c:crosses val="autoZero"/>
        <c:auto val="1"/>
        <c:lblAlgn val="ctr"/>
        <c:lblOffset val="100"/>
        <c:noMultiLvlLbl val="0"/>
      </c:catAx>
      <c:valAx>
        <c:axId val="20659867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659896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ubbleChart>
        <c:varyColors val="0"/>
        <c:ser>
          <c:idx val="0"/>
          <c:order val="0"/>
          <c:invertIfNegative val="0"/>
          <c:xVal>
            <c:numRef>
              <c:f>Sheet2!$D$10:$D$17</c:f>
              <c:numCache>
                <c:formatCode>General</c:formatCode>
                <c:ptCount val="8"/>
                <c:pt idx="0">
                  <c:v>5.0</c:v>
                </c:pt>
                <c:pt idx="1">
                  <c:v>10.0</c:v>
                </c:pt>
                <c:pt idx="2">
                  <c:v>3.0</c:v>
                </c:pt>
                <c:pt idx="3">
                  <c:v>7.0</c:v>
                </c:pt>
                <c:pt idx="4">
                  <c:v>9.0</c:v>
                </c:pt>
                <c:pt idx="5">
                  <c:v>9.0</c:v>
                </c:pt>
                <c:pt idx="6">
                  <c:v>5.0</c:v>
                </c:pt>
                <c:pt idx="7">
                  <c:v>1.0</c:v>
                </c:pt>
              </c:numCache>
            </c:numRef>
          </c:xVal>
          <c:yVal>
            <c:numRef>
              <c:f>Sheet2!$E$10:$E$17</c:f>
              <c:numCache>
                <c:formatCode>General</c:formatCode>
                <c:ptCount val="8"/>
                <c:pt idx="0">
                  <c:v>7.0</c:v>
                </c:pt>
                <c:pt idx="1">
                  <c:v>8.0</c:v>
                </c:pt>
                <c:pt idx="2">
                  <c:v>6.0</c:v>
                </c:pt>
                <c:pt idx="3">
                  <c:v>3.0</c:v>
                </c:pt>
                <c:pt idx="4">
                  <c:v>3.0</c:v>
                </c:pt>
                <c:pt idx="5">
                  <c:v>1.0</c:v>
                </c:pt>
                <c:pt idx="6">
                  <c:v>4.0</c:v>
                </c:pt>
                <c:pt idx="7">
                  <c:v>5.0</c:v>
                </c:pt>
              </c:numCache>
            </c:numRef>
          </c:yVal>
          <c:bubbleSize>
            <c:numLit>
              <c:formatCode>General</c:formatCode>
              <c:ptCount val="7"/>
              <c:pt idx="0">
                <c:v>1.0</c:v>
              </c:pt>
              <c:pt idx="1">
                <c:v>0.1</c:v>
              </c:pt>
              <c:pt idx="2">
                <c:v>0.1</c:v>
              </c:pt>
              <c:pt idx="3">
                <c:v>0.1</c:v>
              </c:pt>
              <c:pt idx="4">
                <c:v>0.1</c:v>
              </c:pt>
              <c:pt idx="5">
                <c:v>0.1</c:v>
              </c:pt>
              <c:pt idx="6">
                <c:v>0.1</c:v>
              </c:pt>
            </c:numLit>
          </c:bubbleSize>
          <c:bubble3D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2064754952"/>
        <c:axId val="2064751928"/>
      </c:bubbleChart>
      <c:valAx>
        <c:axId val="2064754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64751928"/>
        <c:crosses val="autoZero"/>
        <c:crossBetween val="midCat"/>
      </c:valAx>
      <c:valAx>
        <c:axId val="20647519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6475495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292100</xdr:colOff>
      <xdr:row>44</xdr:row>
      <xdr:rowOff>57150</xdr:rowOff>
    </xdr:from>
    <xdr:to>
      <xdr:col>8</xdr:col>
      <xdr:colOff>711200</xdr:colOff>
      <xdr:row>58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44</xdr:row>
      <xdr:rowOff>44450</xdr:rowOff>
    </xdr:from>
    <xdr:to>
      <xdr:col>3</xdr:col>
      <xdr:colOff>127000</xdr:colOff>
      <xdr:row>58</xdr:row>
      <xdr:rowOff>120650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440266</xdr:colOff>
      <xdr:row>21</xdr:row>
      <xdr:rowOff>152400</xdr:rowOff>
    </xdr:from>
    <xdr:to>
      <xdr:col>8</xdr:col>
      <xdr:colOff>1</xdr:colOff>
      <xdr:row>55</xdr:row>
      <xdr:rowOff>16933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T45"/>
  <sheetViews>
    <sheetView tabSelected="1" topLeftCell="A6" workbookViewId="0">
      <selection activeCell="B23" sqref="B23"/>
    </sheetView>
  </sheetViews>
  <sheetFormatPr baseColWidth="10" defaultRowHeight="15" x14ac:dyDescent="0"/>
  <cols>
    <col min="1" max="1" width="34.33203125" customWidth="1"/>
    <col min="2" max="2" width="13.1640625" bestFit="1" customWidth="1"/>
    <col min="5" max="5" width="9.83203125" customWidth="1"/>
    <col min="6" max="6" width="20.5" customWidth="1"/>
  </cols>
  <sheetData>
    <row r="3" spans="1:13">
      <c r="A3" t="s">
        <v>0</v>
      </c>
      <c r="B3" t="s">
        <v>1</v>
      </c>
    </row>
    <row r="4" spans="1:13">
      <c r="A4" t="s">
        <v>2</v>
      </c>
      <c r="B4" s="1">
        <v>0.05</v>
      </c>
      <c r="C4" t="s">
        <v>3</v>
      </c>
    </row>
    <row r="5" spans="1:13">
      <c r="B5" s="2">
        <f>B4*387</f>
        <v>19.350000000000001</v>
      </c>
      <c r="C5" t="s">
        <v>4</v>
      </c>
    </row>
    <row r="6" spans="1:13">
      <c r="B6" s="2"/>
    </row>
    <row r="7" spans="1:13">
      <c r="A7" t="s">
        <v>5</v>
      </c>
      <c r="B7" s="6">
        <v>1000000</v>
      </c>
      <c r="C7" t="s">
        <v>43</v>
      </c>
    </row>
    <row r="8" spans="1:13">
      <c r="A8" t="s">
        <v>44</v>
      </c>
      <c r="B8" s="3">
        <v>0.05</v>
      </c>
      <c r="C8" t="s">
        <v>3</v>
      </c>
    </row>
    <row r="9" spans="1:13">
      <c r="A9" t="s">
        <v>45</v>
      </c>
      <c r="B9" s="7">
        <f>B8*B7</f>
        <v>50000</v>
      </c>
      <c r="C9" t="s">
        <v>43</v>
      </c>
    </row>
    <row r="10" spans="1:13">
      <c r="B10" s="2"/>
    </row>
    <row r="11" spans="1:13">
      <c r="A11" t="s">
        <v>13</v>
      </c>
      <c r="E11" t="s">
        <v>14</v>
      </c>
    </row>
    <row r="12" spans="1:13">
      <c r="A12" t="s">
        <v>7</v>
      </c>
      <c r="B12" t="s">
        <v>8</v>
      </c>
      <c r="C12" t="s">
        <v>9</v>
      </c>
      <c r="E12" t="s">
        <v>16</v>
      </c>
      <c r="F12" t="s">
        <v>28</v>
      </c>
      <c r="G12" t="s">
        <v>22</v>
      </c>
      <c r="H12" t="s">
        <v>24</v>
      </c>
      <c r="I12" t="s">
        <v>34</v>
      </c>
      <c r="J12" t="s">
        <v>38</v>
      </c>
      <c r="M12" t="s">
        <v>85</v>
      </c>
    </row>
    <row r="13" spans="1:13">
      <c r="A13" t="s">
        <v>6</v>
      </c>
      <c r="B13" s="25">
        <v>350000</v>
      </c>
      <c r="C13">
        <v>1998</v>
      </c>
      <c r="E13" t="s">
        <v>19</v>
      </c>
      <c r="F13" s="5">
        <v>0.2</v>
      </c>
      <c r="G13" s="5">
        <v>1000</v>
      </c>
      <c r="H13" s="11">
        <v>0</v>
      </c>
      <c r="I13" s="12">
        <v>0.01</v>
      </c>
      <c r="J13" s="13">
        <f>(G13-I13*G13-G14)/G13</f>
        <v>0.82</v>
      </c>
      <c r="M13">
        <v>2</v>
      </c>
    </row>
    <row r="14" spans="1:13">
      <c r="A14" t="s">
        <v>10</v>
      </c>
      <c r="B14" s="25">
        <v>50000</v>
      </c>
      <c r="C14">
        <v>2011</v>
      </c>
      <c r="E14" t="s">
        <v>17</v>
      </c>
      <c r="F14" s="5">
        <v>1.5</v>
      </c>
      <c r="G14" s="5">
        <v>170</v>
      </c>
      <c r="H14" s="11">
        <v>1</v>
      </c>
      <c r="I14" s="12">
        <v>0.05</v>
      </c>
      <c r="J14" s="14">
        <f>(G14-I14*G14-G15)/G14</f>
        <v>0.59705882352941175</v>
      </c>
      <c r="M14">
        <v>5</v>
      </c>
    </row>
    <row r="15" spans="1:13">
      <c r="A15" t="s">
        <v>11</v>
      </c>
      <c r="B15" s="25">
        <v>25000</v>
      </c>
      <c r="C15">
        <v>2009</v>
      </c>
      <c r="E15" t="s">
        <v>18</v>
      </c>
      <c r="F15" s="5">
        <v>10</v>
      </c>
      <c r="G15" s="5">
        <v>60</v>
      </c>
      <c r="H15" s="11">
        <v>2</v>
      </c>
      <c r="I15" s="12">
        <v>0.1</v>
      </c>
      <c r="J15" s="14">
        <f t="shared" ref="J15:J19" si="0">(G15-I15*G15-G16)/G15</f>
        <v>0.4</v>
      </c>
      <c r="M15">
        <v>20</v>
      </c>
    </row>
    <row r="16" spans="1:13">
      <c r="A16" t="s">
        <v>12</v>
      </c>
      <c r="B16" s="25">
        <v>20000</v>
      </c>
      <c r="C16">
        <v>2012</v>
      </c>
      <c r="E16" t="s">
        <v>20</v>
      </c>
      <c r="F16" s="5">
        <v>50</v>
      </c>
      <c r="G16" s="5">
        <v>30</v>
      </c>
      <c r="H16" s="15" t="s">
        <v>25</v>
      </c>
      <c r="I16" s="12">
        <v>0.3</v>
      </c>
      <c r="J16" s="14">
        <f t="shared" si="0"/>
        <v>0.2</v>
      </c>
      <c r="M16">
        <v>150</v>
      </c>
    </row>
    <row r="17" spans="1:20">
      <c r="A17" t="s">
        <v>15</v>
      </c>
      <c r="B17" s="25">
        <v>10000</v>
      </c>
      <c r="C17">
        <v>2011</v>
      </c>
      <c r="E17" t="s">
        <v>21</v>
      </c>
      <c r="F17" s="5">
        <v>150</v>
      </c>
      <c r="G17" s="5">
        <v>15</v>
      </c>
      <c r="H17" s="11" t="s">
        <v>27</v>
      </c>
      <c r="I17" s="12">
        <v>0.8</v>
      </c>
      <c r="J17" s="14">
        <f t="shared" si="0"/>
        <v>0.13333333333333333</v>
      </c>
      <c r="K17" t="s">
        <v>32</v>
      </c>
      <c r="M17">
        <v>300</v>
      </c>
    </row>
    <row r="18" spans="1:20">
      <c r="E18" t="s">
        <v>23</v>
      </c>
      <c r="F18" s="5">
        <v>1000</v>
      </c>
      <c r="G18" s="5">
        <v>1</v>
      </c>
      <c r="H18" s="11" t="s">
        <v>26</v>
      </c>
      <c r="I18" s="12">
        <v>1</v>
      </c>
      <c r="J18" s="14">
        <v>0</v>
      </c>
      <c r="K18" t="s">
        <v>31</v>
      </c>
      <c r="M18">
        <v>1000</v>
      </c>
    </row>
    <row r="19" spans="1:20">
      <c r="E19" t="s">
        <v>29</v>
      </c>
      <c r="F19" s="5">
        <v>20000</v>
      </c>
      <c r="G19" s="16">
        <v>0.09</v>
      </c>
      <c r="H19" s="5">
        <v>5</v>
      </c>
      <c r="I19" s="12">
        <v>1</v>
      </c>
      <c r="J19" s="14">
        <f t="shared" si="0"/>
        <v>0</v>
      </c>
      <c r="K19" t="s">
        <v>30</v>
      </c>
      <c r="M19">
        <v>5000</v>
      </c>
    </row>
    <row r="21" spans="1:20">
      <c r="A21" s="2" t="s">
        <v>36</v>
      </c>
      <c r="B21">
        <v>2016</v>
      </c>
      <c r="C21">
        <v>2017</v>
      </c>
      <c r="D21">
        <v>2018</v>
      </c>
      <c r="E21">
        <v>2019</v>
      </c>
      <c r="F21">
        <v>2020</v>
      </c>
      <c r="G21">
        <v>2021</v>
      </c>
      <c r="H21">
        <v>2022</v>
      </c>
      <c r="I21">
        <v>2023</v>
      </c>
      <c r="J21">
        <v>2024</v>
      </c>
      <c r="K21">
        <v>2025</v>
      </c>
      <c r="L21">
        <v>2026</v>
      </c>
      <c r="M21">
        <v>2027</v>
      </c>
      <c r="N21">
        <v>2028</v>
      </c>
      <c r="O21">
        <v>2029</v>
      </c>
      <c r="P21">
        <v>2030</v>
      </c>
      <c r="R21" t="s">
        <v>86</v>
      </c>
      <c r="S21" t="s">
        <v>87</v>
      </c>
    </row>
    <row r="22" spans="1:20">
      <c r="A22" s="5" t="s">
        <v>47</v>
      </c>
      <c r="B22" s="5">
        <v>50</v>
      </c>
      <c r="C22" s="5">
        <v>80</v>
      </c>
      <c r="D22" s="5">
        <v>110</v>
      </c>
      <c r="E22" s="5">
        <v>150</v>
      </c>
      <c r="F22" s="5">
        <v>200</v>
      </c>
      <c r="G22" s="5">
        <v>250</v>
      </c>
      <c r="H22" s="5">
        <v>300</v>
      </c>
      <c r="I22" s="5">
        <v>350</v>
      </c>
      <c r="J22" s="5">
        <v>400</v>
      </c>
      <c r="K22" s="5">
        <v>450</v>
      </c>
      <c r="L22" s="5">
        <v>500</v>
      </c>
      <c r="M22" s="5">
        <v>500</v>
      </c>
      <c r="N22" s="5">
        <v>500</v>
      </c>
      <c r="O22" s="5">
        <v>500</v>
      </c>
      <c r="P22" s="5">
        <v>500</v>
      </c>
      <c r="R22">
        <f>P22*M13</f>
        <v>1000</v>
      </c>
      <c r="S22">
        <f>R22*5</f>
        <v>5000</v>
      </c>
    </row>
    <row r="23" spans="1:20">
      <c r="A23" t="s">
        <v>17</v>
      </c>
      <c r="C23">
        <f>B22*$G$14/$G$13</f>
        <v>8.5</v>
      </c>
      <c r="D23">
        <f t="shared" ref="D23:P23" si="1">C22*$G$14/$G$13</f>
        <v>13.6</v>
      </c>
      <c r="E23">
        <f t="shared" si="1"/>
        <v>18.7</v>
      </c>
      <c r="F23">
        <f t="shared" si="1"/>
        <v>25.5</v>
      </c>
      <c r="G23">
        <f t="shared" si="1"/>
        <v>34</v>
      </c>
      <c r="H23">
        <f t="shared" si="1"/>
        <v>42.5</v>
      </c>
      <c r="I23">
        <f t="shared" si="1"/>
        <v>51</v>
      </c>
      <c r="J23">
        <f t="shared" si="1"/>
        <v>59.5</v>
      </c>
      <c r="K23">
        <f t="shared" si="1"/>
        <v>68</v>
      </c>
      <c r="L23">
        <f t="shared" si="1"/>
        <v>76.5</v>
      </c>
      <c r="M23">
        <f t="shared" si="1"/>
        <v>85</v>
      </c>
      <c r="N23">
        <f t="shared" si="1"/>
        <v>85</v>
      </c>
      <c r="O23">
        <f t="shared" si="1"/>
        <v>85</v>
      </c>
      <c r="P23">
        <f t="shared" si="1"/>
        <v>85</v>
      </c>
      <c r="R23">
        <f t="shared" ref="R23:R28" si="2">P23*M14</f>
        <v>425</v>
      </c>
      <c r="S23">
        <f t="shared" ref="S23:S29" si="3">R23*5</f>
        <v>2125</v>
      </c>
    </row>
    <row r="24" spans="1:20">
      <c r="A24" t="s">
        <v>18</v>
      </c>
      <c r="D24">
        <f>C23*$G$15/$G$14</f>
        <v>3</v>
      </c>
      <c r="E24">
        <f t="shared" ref="E24:P24" si="4">D23*$G$15/$G$14</f>
        <v>4.8</v>
      </c>
      <c r="F24">
        <f t="shared" si="4"/>
        <v>6.6</v>
      </c>
      <c r="G24">
        <f t="shared" si="4"/>
        <v>9</v>
      </c>
      <c r="H24">
        <f t="shared" si="4"/>
        <v>12</v>
      </c>
      <c r="I24">
        <f t="shared" si="4"/>
        <v>15</v>
      </c>
      <c r="J24">
        <f t="shared" si="4"/>
        <v>18</v>
      </c>
      <c r="K24">
        <f t="shared" si="4"/>
        <v>21</v>
      </c>
      <c r="L24">
        <f t="shared" si="4"/>
        <v>24</v>
      </c>
      <c r="M24">
        <f t="shared" si="4"/>
        <v>27</v>
      </c>
      <c r="N24">
        <f t="shared" si="4"/>
        <v>30</v>
      </c>
      <c r="O24">
        <f t="shared" si="4"/>
        <v>30</v>
      </c>
      <c r="P24">
        <f t="shared" si="4"/>
        <v>30</v>
      </c>
      <c r="R24">
        <f t="shared" si="2"/>
        <v>600</v>
      </c>
      <c r="S24">
        <f t="shared" si="3"/>
        <v>3000</v>
      </c>
    </row>
    <row r="25" spans="1:20">
      <c r="A25" t="s">
        <v>20</v>
      </c>
      <c r="E25">
        <f>D24*$G$16/$G$15</f>
        <v>1.5</v>
      </c>
      <c r="F25">
        <f t="shared" ref="F25:P25" si="5">E24*$G$16/$G$15</f>
        <v>2.4</v>
      </c>
      <c r="G25">
        <f t="shared" si="5"/>
        <v>3.3</v>
      </c>
      <c r="H25">
        <f t="shared" si="5"/>
        <v>4.5</v>
      </c>
      <c r="I25">
        <f t="shared" si="5"/>
        <v>6</v>
      </c>
      <c r="J25">
        <f t="shared" si="5"/>
        <v>7.5</v>
      </c>
      <c r="K25">
        <f t="shared" si="5"/>
        <v>9</v>
      </c>
      <c r="L25">
        <f t="shared" si="5"/>
        <v>10.5</v>
      </c>
      <c r="M25">
        <f t="shared" si="5"/>
        <v>12</v>
      </c>
      <c r="N25">
        <f t="shared" si="5"/>
        <v>13.5</v>
      </c>
      <c r="O25">
        <f t="shared" si="5"/>
        <v>15</v>
      </c>
      <c r="P25">
        <f t="shared" si="5"/>
        <v>15</v>
      </c>
      <c r="R25">
        <f t="shared" si="2"/>
        <v>2250</v>
      </c>
      <c r="S25">
        <f t="shared" si="3"/>
        <v>11250</v>
      </c>
    </row>
    <row r="26" spans="1:20">
      <c r="A26" t="s">
        <v>21</v>
      </c>
      <c r="F26">
        <f>E25*$G$17/$G$16</f>
        <v>0.75</v>
      </c>
      <c r="G26">
        <f t="shared" ref="G26:P26" si="6">F25*$G$17/$G$16</f>
        <v>1.2</v>
      </c>
      <c r="H26">
        <f t="shared" si="6"/>
        <v>1.65</v>
      </c>
      <c r="I26">
        <f t="shared" si="6"/>
        <v>2.25</v>
      </c>
      <c r="J26">
        <f t="shared" si="6"/>
        <v>3</v>
      </c>
      <c r="K26">
        <f t="shared" si="6"/>
        <v>3.75</v>
      </c>
      <c r="L26">
        <f t="shared" si="6"/>
        <v>4.5</v>
      </c>
      <c r="M26">
        <f t="shared" si="6"/>
        <v>5.25</v>
      </c>
      <c r="N26">
        <f t="shared" si="6"/>
        <v>6</v>
      </c>
      <c r="O26">
        <f t="shared" si="6"/>
        <v>6.75</v>
      </c>
      <c r="P26">
        <f t="shared" si="6"/>
        <v>7.5</v>
      </c>
      <c r="R26">
        <f t="shared" si="2"/>
        <v>2250</v>
      </c>
      <c r="S26">
        <f t="shared" si="3"/>
        <v>11250</v>
      </c>
    </row>
    <row r="27" spans="1:20">
      <c r="A27" t="s">
        <v>23</v>
      </c>
      <c r="G27">
        <f>F26*$G$18/$G$17</f>
        <v>0.05</v>
      </c>
      <c r="H27">
        <f t="shared" ref="H27:P27" si="7">G26*$G$18/$G$17</f>
        <v>0.08</v>
      </c>
      <c r="I27">
        <f t="shared" si="7"/>
        <v>0.11</v>
      </c>
      <c r="J27">
        <f t="shared" si="7"/>
        <v>0.15</v>
      </c>
      <c r="K27">
        <f t="shared" si="7"/>
        <v>0.2</v>
      </c>
      <c r="L27">
        <f t="shared" si="7"/>
        <v>0.25</v>
      </c>
      <c r="M27">
        <f t="shared" si="7"/>
        <v>0.3</v>
      </c>
      <c r="N27">
        <f t="shared" si="7"/>
        <v>0.35</v>
      </c>
      <c r="O27">
        <f t="shared" si="7"/>
        <v>0.4</v>
      </c>
      <c r="P27">
        <f t="shared" si="7"/>
        <v>0.45</v>
      </c>
      <c r="R27">
        <f t="shared" si="2"/>
        <v>450</v>
      </c>
      <c r="S27">
        <f t="shared" si="3"/>
        <v>2250</v>
      </c>
    </row>
    <row r="28" spans="1:20">
      <c r="A28" t="s">
        <v>29</v>
      </c>
      <c r="G28" s="4">
        <f>F26*$G$19/$G$17</f>
        <v>4.5000000000000005E-3</v>
      </c>
      <c r="H28" s="4">
        <f t="shared" ref="H28:P28" si="8">G26*$G$19/$G$17</f>
        <v>7.1999999999999998E-3</v>
      </c>
      <c r="I28" s="4">
        <f t="shared" si="8"/>
        <v>9.8999999999999991E-3</v>
      </c>
      <c r="J28" s="4">
        <f t="shared" si="8"/>
        <v>1.35E-2</v>
      </c>
      <c r="K28" s="4">
        <f t="shared" si="8"/>
        <v>1.8000000000000002E-2</v>
      </c>
      <c r="L28" s="4">
        <f t="shared" si="8"/>
        <v>2.2499999999999999E-2</v>
      </c>
      <c r="M28" s="4">
        <f t="shared" si="8"/>
        <v>2.7E-2</v>
      </c>
      <c r="N28" s="4">
        <f t="shared" si="8"/>
        <v>3.15E-2</v>
      </c>
      <c r="O28" s="4">
        <f t="shared" si="8"/>
        <v>3.6000000000000004E-2</v>
      </c>
      <c r="P28" s="4">
        <f t="shared" si="8"/>
        <v>4.0499999999999994E-2</v>
      </c>
      <c r="R28">
        <f t="shared" si="2"/>
        <v>202.49999999999997</v>
      </c>
      <c r="S28">
        <f t="shared" si="3"/>
        <v>1012.4999999999999</v>
      </c>
    </row>
    <row r="29" spans="1:20">
      <c r="A29" s="2" t="s">
        <v>35</v>
      </c>
      <c r="B29" s="2">
        <f>SUMPRODUCT(B22:B28,$F$13:$F$19)</f>
        <v>10</v>
      </c>
      <c r="C29" s="2">
        <f>SUMPRODUCT(C22:C28,$F$13:$F$19)</f>
        <v>28.75</v>
      </c>
      <c r="D29" s="2">
        <f t="shared" ref="D29:P29" si="9">SUMPRODUCT(D22:D28,$F$13:$F$19)</f>
        <v>72.400000000000006</v>
      </c>
      <c r="E29" s="2">
        <f t="shared" si="9"/>
        <v>181.05</v>
      </c>
      <c r="F29" s="2">
        <f t="shared" si="9"/>
        <v>376.75</v>
      </c>
      <c r="G29" s="2">
        <f t="shared" si="9"/>
        <v>676</v>
      </c>
      <c r="H29" s="2">
        <f t="shared" si="9"/>
        <v>940.25</v>
      </c>
      <c r="I29" s="2">
        <f t="shared" si="9"/>
        <v>1242</v>
      </c>
      <c r="J29" s="2">
        <f t="shared" si="9"/>
        <v>1594.25</v>
      </c>
      <c r="K29" s="2">
        <f t="shared" si="9"/>
        <v>1974.5</v>
      </c>
      <c r="L29" s="2">
        <f t="shared" si="9"/>
        <v>2354.75</v>
      </c>
      <c r="M29" s="2">
        <f t="shared" si="9"/>
        <v>2725</v>
      </c>
      <c r="N29" s="2">
        <f t="shared" si="9"/>
        <v>3082.5</v>
      </c>
      <c r="O29" s="2">
        <f t="shared" si="9"/>
        <v>3410</v>
      </c>
      <c r="P29" s="2">
        <f t="shared" si="9"/>
        <v>3662.5</v>
      </c>
      <c r="Q29" t="s">
        <v>33</v>
      </c>
      <c r="R29" s="2">
        <f>SUM(R22:R28)</f>
        <v>7177.5</v>
      </c>
      <c r="S29">
        <f t="shared" si="3"/>
        <v>35887.5</v>
      </c>
      <c r="T29" s="2">
        <f>S29+R29</f>
        <v>43065</v>
      </c>
    </row>
    <row r="32" spans="1:20">
      <c r="A32" s="2" t="s">
        <v>37</v>
      </c>
    </row>
    <row r="33" spans="1:18">
      <c r="B33">
        <v>2016</v>
      </c>
      <c r="C33">
        <v>2017</v>
      </c>
      <c r="D33">
        <v>2018</v>
      </c>
      <c r="E33">
        <v>2019</v>
      </c>
      <c r="F33">
        <v>2020</v>
      </c>
      <c r="G33">
        <v>2021</v>
      </c>
      <c r="H33">
        <v>2022</v>
      </c>
      <c r="I33">
        <v>2023</v>
      </c>
      <c r="J33">
        <v>2024</v>
      </c>
      <c r="K33">
        <v>2025</v>
      </c>
    </row>
    <row r="34" spans="1:18">
      <c r="A34" t="s">
        <v>19</v>
      </c>
      <c r="B34">
        <f>B22</f>
        <v>50</v>
      </c>
      <c r="C34">
        <f>C22+B34*(1-$J13)</f>
        <v>89</v>
      </c>
      <c r="D34" s="6">
        <f>D22+C34*(1-$J$13)</f>
        <v>126.02000000000001</v>
      </c>
      <c r="E34" s="6">
        <f t="shared" ref="E34:P34" si="10">E22+D34*(1-$J$13)</f>
        <v>172.68360000000001</v>
      </c>
      <c r="F34" s="6">
        <f t="shared" si="10"/>
        <v>231.08304800000002</v>
      </c>
      <c r="G34" s="6">
        <f t="shared" si="10"/>
        <v>291.59494863999998</v>
      </c>
      <c r="H34" s="6">
        <f t="shared" si="10"/>
        <v>352.48709075520003</v>
      </c>
      <c r="I34" s="6">
        <f t="shared" si="10"/>
        <v>413.44767633593602</v>
      </c>
      <c r="J34" s="6">
        <f t="shared" si="10"/>
        <v>474.42058174046849</v>
      </c>
      <c r="K34" s="6">
        <f t="shared" si="10"/>
        <v>535.39570471328432</v>
      </c>
      <c r="L34" s="6">
        <f t="shared" si="10"/>
        <v>596.37122684839119</v>
      </c>
      <c r="M34" s="26">
        <f t="shared" si="10"/>
        <v>607.34682083271048</v>
      </c>
      <c r="N34" s="6">
        <f t="shared" si="10"/>
        <v>609.32242774988788</v>
      </c>
      <c r="O34" s="6">
        <f t="shared" si="10"/>
        <v>609.67803699497983</v>
      </c>
      <c r="P34" s="6">
        <f t="shared" si="10"/>
        <v>609.74204665909645</v>
      </c>
    </row>
    <row r="35" spans="1:18">
      <c r="A35" t="s">
        <v>17</v>
      </c>
      <c r="C35" s="6">
        <f>C23+B35*(1-$J14)</f>
        <v>8.5</v>
      </c>
      <c r="D35" s="6">
        <f t="shared" ref="D35:P35" si="11">D23+C35*(1-$J14)</f>
        <v>17.024999999999999</v>
      </c>
      <c r="E35" s="6">
        <f t="shared" si="11"/>
        <v>25.560073529411763</v>
      </c>
      <c r="F35" s="6">
        <f t="shared" si="11"/>
        <v>35.799206098615919</v>
      </c>
      <c r="G35" s="6">
        <f t="shared" si="11"/>
        <v>48.424974222089354</v>
      </c>
      <c r="H35" s="6">
        <f t="shared" si="11"/>
        <v>62.012416083606595</v>
      </c>
      <c r="I35" s="6">
        <f t="shared" si="11"/>
        <v>75.98735589251207</v>
      </c>
      <c r="J35" s="6">
        <f t="shared" si="11"/>
        <v>90.118434580218093</v>
      </c>
      <c r="K35" s="6">
        <f t="shared" si="11"/>
        <v>104.31242805144082</v>
      </c>
      <c r="L35" s="6">
        <f t="shared" si="11"/>
        <v>118.53177247955117</v>
      </c>
      <c r="M35" s="26">
        <f t="shared" si="11"/>
        <v>132.76133185205444</v>
      </c>
      <c r="N35" s="6">
        <f t="shared" si="11"/>
        <v>138.49500724626898</v>
      </c>
      <c r="O35" s="6">
        <f t="shared" si="11"/>
        <v>140.80534115511426</v>
      </c>
      <c r="P35" s="6">
        <f t="shared" si="11"/>
        <v>141.73626981838427</v>
      </c>
    </row>
    <row r="36" spans="1:18">
      <c r="A36" t="s">
        <v>18</v>
      </c>
      <c r="C36" s="6">
        <f>C24+B36*(1-$J15)</f>
        <v>0</v>
      </c>
      <c r="D36" s="6">
        <f>D24+C36*(1-$J15)</f>
        <v>3</v>
      </c>
      <c r="E36" s="6">
        <f t="shared" ref="E36:P36" si="12">E24+D36*(1-$J15)</f>
        <v>6.6</v>
      </c>
      <c r="F36" s="6">
        <f t="shared" si="12"/>
        <v>10.559999999999999</v>
      </c>
      <c r="G36" s="6">
        <f t="shared" si="12"/>
        <v>15.335999999999999</v>
      </c>
      <c r="H36" s="6">
        <f t="shared" si="12"/>
        <v>21.201599999999999</v>
      </c>
      <c r="I36" s="6">
        <f t="shared" si="12"/>
        <v>27.720959999999998</v>
      </c>
      <c r="J36" s="6">
        <f t="shared" si="12"/>
        <v>34.632576</v>
      </c>
      <c r="K36" s="6">
        <f t="shared" si="12"/>
        <v>41.779545599999999</v>
      </c>
      <c r="L36" s="6">
        <f t="shared" si="12"/>
        <v>49.067727359999999</v>
      </c>
      <c r="M36" s="26">
        <f t="shared" si="12"/>
        <v>56.440636415999997</v>
      </c>
      <c r="N36" s="6">
        <f t="shared" si="12"/>
        <v>63.864381849599994</v>
      </c>
      <c r="O36" s="6">
        <f t="shared" si="12"/>
        <v>68.318629109759996</v>
      </c>
      <c r="P36" s="6">
        <f t="shared" si="12"/>
        <v>70.991177465855998</v>
      </c>
    </row>
    <row r="37" spans="1:18">
      <c r="A37" t="s">
        <v>20</v>
      </c>
      <c r="C37" s="6">
        <f t="shared" ref="C37:P37" si="13">C25+B37*(1-$J16)</f>
        <v>0</v>
      </c>
      <c r="D37" s="6">
        <f t="shared" si="13"/>
        <v>0</v>
      </c>
      <c r="E37" s="6">
        <f t="shared" si="13"/>
        <v>1.5</v>
      </c>
      <c r="F37" s="6">
        <f t="shared" si="13"/>
        <v>3.6</v>
      </c>
      <c r="G37" s="6">
        <f t="shared" si="13"/>
        <v>6.18</v>
      </c>
      <c r="H37" s="6">
        <f t="shared" si="13"/>
        <v>9.4439999999999991</v>
      </c>
      <c r="I37" s="6">
        <f t="shared" si="13"/>
        <v>13.555199999999999</v>
      </c>
      <c r="J37" s="6">
        <f t="shared" si="13"/>
        <v>18.344160000000002</v>
      </c>
      <c r="K37" s="6">
        <f t="shared" si="13"/>
        <v>23.675328</v>
      </c>
      <c r="L37" s="6">
        <f t="shared" si="13"/>
        <v>29.440262400000002</v>
      </c>
      <c r="M37" s="26">
        <f t="shared" si="13"/>
        <v>35.552209920000003</v>
      </c>
      <c r="N37" s="6">
        <f t="shared" si="13"/>
        <v>41.941767936000005</v>
      </c>
      <c r="O37" s="6">
        <f t="shared" si="13"/>
        <v>48.553414348800004</v>
      </c>
      <c r="P37" s="6">
        <f t="shared" si="13"/>
        <v>53.842731479040005</v>
      </c>
    </row>
    <row r="38" spans="1:18">
      <c r="A38" t="s">
        <v>21</v>
      </c>
      <c r="C38" s="6">
        <f t="shared" ref="C38:P38" si="14">C26+B38*(1-$J17)</f>
        <v>0</v>
      </c>
      <c r="D38" s="6">
        <f t="shared" si="14"/>
        <v>0</v>
      </c>
      <c r="E38" s="6">
        <f t="shared" si="14"/>
        <v>0</v>
      </c>
      <c r="F38" s="6">
        <f t="shared" si="14"/>
        <v>0.75</v>
      </c>
      <c r="G38" s="6">
        <f t="shared" si="14"/>
        <v>1.85</v>
      </c>
      <c r="H38" s="6">
        <f t="shared" si="14"/>
        <v>3.2533333333333334</v>
      </c>
      <c r="I38" s="6">
        <f t="shared" si="14"/>
        <v>5.0695555555555556</v>
      </c>
      <c r="J38" s="6">
        <f t="shared" si="14"/>
        <v>7.3936148148148151</v>
      </c>
      <c r="K38" s="6">
        <f t="shared" si="14"/>
        <v>10.157799506172839</v>
      </c>
      <c r="L38" s="6">
        <f t="shared" si="14"/>
        <v>13.303426238683128</v>
      </c>
      <c r="M38" s="26">
        <f t="shared" si="14"/>
        <v>16.779636073525378</v>
      </c>
      <c r="N38" s="6">
        <f t="shared" si="14"/>
        <v>20.542351263721997</v>
      </c>
      <c r="O38" s="6">
        <f t="shared" si="14"/>
        <v>24.553371095225732</v>
      </c>
      <c r="P38" s="6">
        <f t="shared" si="14"/>
        <v>28.77958828252897</v>
      </c>
    </row>
    <row r="39" spans="1:18">
      <c r="A39" t="s">
        <v>23</v>
      </c>
      <c r="C39" s="6">
        <f t="shared" ref="C39:P40" si="15">C27+B39*(1-$J18)</f>
        <v>0</v>
      </c>
      <c r="D39" s="6">
        <f t="shared" si="15"/>
        <v>0</v>
      </c>
      <c r="E39" s="6">
        <f t="shared" si="15"/>
        <v>0</v>
      </c>
      <c r="F39" s="6">
        <f t="shared" si="15"/>
        <v>0</v>
      </c>
      <c r="G39" s="6">
        <f t="shared" si="15"/>
        <v>0.05</v>
      </c>
      <c r="H39" s="6">
        <f t="shared" si="15"/>
        <v>0.13</v>
      </c>
      <c r="I39" s="6">
        <f t="shared" si="15"/>
        <v>0.24</v>
      </c>
      <c r="J39" s="6">
        <f t="shared" si="15"/>
        <v>0.39</v>
      </c>
      <c r="K39" s="6">
        <f t="shared" si="15"/>
        <v>0.59000000000000008</v>
      </c>
      <c r="L39" s="6">
        <f t="shared" si="15"/>
        <v>0.84000000000000008</v>
      </c>
      <c r="M39" s="26">
        <f t="shared" si="15"/>
        <v>1.1400000000000001</v>
      </c>
      <c r="N39" s="6">
        <f t="shared" si="15"/>
        <v>1.4900000000000002</v>
      </c>
      <c r="O39" s="6">
        <f t="shared" si="15"/>
        <v>1.8900000000000001</v>
      </c>
      <c r="P39" s="6">
        <f t="shared" si="15"/>
        <v>2.3400000000000003</v>
      </c>
    </row>
    <row r="40" spans="1:18">
      <c r="A40" t="s">
        <v>29</v>
      </c>
      <c r="C40" s="6">
        <f>C28+B40*(1-$J19)</f>
        <v>0</v>
      </c>
      <c r="D40" s="6">
        <f>D28+C40*(1-$J19)</f>
        <v>0</v>
      </c>
      <c r="E40" s="6">
        <f t="shared" si="15"/>
        <v>0</v>
      </c>
      <c r="F40" s="6">
        <f t="shared" si="15"/>
        <v>0</v>
      </c>
      <c r="G40" s="6">
        <f t="shared" si="15"/>
        <v>4.5000000000000005E-3</v>
      </c>
      <c r="H40" s="6">
        <f t="shared" si="15"/>
        <v>1.17E-2</v>
      </c>
      <c r="I40" s="6">
        <f t="shared" si="15"/>
        <v>2.1600000000000001E-2</v>
      </c>
      <c r="J40" s="6">
        <f t="shared" si="15"/>
        <v>3.5099999999999999E-2</v>
      </c>
      <c r="K40" s="26">
        <f t="shared" si="15"/>
        <v>5.3100000000000001E-2</v>
      </c>
      <c r="L40" s="6">
        <f t="shared" si="15"/>
        <v>7.5600000000000001E-2</v>
      </c>
      <c r="M40" s="26">
        <f t="shared" si="15"/>
        <v>0.1026</v>
      </c>
      <c r="N40" s="6">
        <f t="shared" si="15"/>
        <v>0.1341</v>
      </c>
      <c r="O40" s="6">
        <f t="shared" si="15"/>
        <v>0.1701</v>
      </c>
      <c r="P40" s="26">
        <f t="shared" si="15"/>
        <v>0.21060000000000001</v>
      </c>
    </row>
    <row r="42" spans="1:18">
      <c r="A42" s="2" t="s">
        <v>39</v>
      </c>
      <c r="C42" s="6">
        <f>SUMPRODUCT(B34:B38,$F13:$F17,$I13:$I17)</f>
        <v>0.1</v>
      </c>
      <c r="D42" s="6">
        <f t="shared" ref="D42:P42" si="16">SUMPRODUCT(C34:C38,$F13:$F17,$I13:$I17)</f>
        <v>0.81550000000000011</v>
      </c>
      <c r="E42" s="6">
        <f t="shared" si="16"/>
        <v>4.5289149999999996</v>
      </c>
      <c r="F42" s="6">
        <f t="shared" si="16"/>
        <v>31.362372714705884</v>
      </c>
      <c r="G42" s="6">
        <f t="shared" si="16"/>
        <v>157.70710655339619</v>
      </c>
      <c r="H42" s="6">
        <f t="shared" si="16"/>
        <v>334.2510629639367</v>
      </c>
      <c r="I42" s="6">
        <f t="shared" si="16"/>
        <v>558.61750538778097</v>
      </c>
      <c r="J42" s="6">
        <f t="shared" si="16"/>
        <v>845.92157371127701</v>
      </c>
      <c r="K42" s="6">
        <f t="shared" si="16"/>
        <v>1204.7364775347753</v>
      </c>
      <c r="L42" s="6">
        <f t="shared" si="16"/>
        <v>1624.7396298540252</v>
      </c>
      <c r="M42" s="6">
        <f t="shared" si="16"/>
        <v>2097.1654373916385</v>
      </c>
      <c r="N42" s="6">
        <f t="shared" si="16"/>
        <v>2614.4519075696148</v>
      </c>
      <c r="O42" s="6">
        <f t="shared" si="16"/>
        <v>3169.6788229352096</v>
      </c>
      <c r="P42" s="9">
        <f t="shared" si="16"/>
        <v>3754.8041324294718</v>
      </c>
      <c r="Q42" s="7">
        <f>SUM(B42:P42)</f>
        <v>16398.880444045833</v>
      </c>
      <c r="R42" t="s">
        <v>41</v>
      </c>
    </row>
    <row r="43" spans="1:18">
      <c r="A43" s="2" t="s">
        <v>46</v>
      </c>
      <c r="P43" s="9">
        <f>SUMPRODUCT(P39:P40,F18:F19)</f>
        <v>6552</v>
      </c>
      <c r="Q43" s="8">
        <f>P43</f>
        <v>6552</v>
      </c>
      <c r="R43" t="s">
        <v>42</v>
      </c>
    </row>
    <row r="44" spans="1:18">
      <c r="Q44" s="8">
        <f>Q43+Q42</f>
        <v>22950.880444045833</v>
      </c>
      <c r="R44" t="s">
        <v>40</v>
      </c>
    </row>
    <row r="45" spans="1:18">
      <c r="Q45" s="10">
        <f>Q44/B7</f>
        <v>2.2950880444045835E-2</v>
      </c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9:J23"/>
  <sheetViews>
    <sheetView zoomScale="75" zoomScaleNormal="75" zoomScalePageLayoutView="75" workbookViewId="0">
      <selection activeCell="C4" sqref="C4"/>
    </sheetView>
  </sheetViews>
  <sheetFormatPr baseColWidth="10" defaultRowHeight="15" x14ac:dyDescent="0"/>
  <cols>
    <col min="1" max="1" width="4.6640625" customWidth="1"/>
    <col min="2" max="2" width="13.33203125" customWidth="1"/>
    <col min="3" max="3" width="35.5" customWidth="1"/>
    <col min="4" max="4" width="8.83203125" customWidth="1"/>
    <col min="5" max="5" width="10" customWidth="1"/>
    <col min="6" max="9" width="35.5" customWidth="1"/>
    <col min="10" max="10" width="32.5" customWidth="1"/>
  </cols>
  <sheetData>
    <row r="9" spans="2:10">
      <c r="C9" s="22" t="s">
        <v>48</v>
      </c>
      <c r="D9" s="22" t="s">
        <v>82</v>
      </c>
      <c r="E9" s="22" t="s">
        <v>83</v>
      </c>
      <c r="F9" s="22" t="s">
        <v>49</v>
      </c>
      <c r="G9" s="22" t="s">
        <v>50</v>
      </c>
      <c r="H9" s="22" t="s">
        <v>51</v>
      </c>
      <c r="I9" s="22" t="s">
        <v>52</v>
      </c>
      <c r="J9" s="22" t="s">
        <v>53</v>
      </c>
    </row>
    <row r="10" spans="2:10" ht="75">
      <c r="B10" s="17" t="s">
        <v>54</v>
      </c>
      <c r="C10" s="23" t="s">
        <v>61</v>
      </c>
      <c r="D10" s="23">
        <v>5</v>
      </c>
      <c r="E10" s="23">
        <v>7</v>
      </c>
      <c r="F10" s="23" t="s">
        <v>56</v>
      </c>
      <c r="G10" s="23"/>
      <c r="H10" s="23"/>
      <c r="I10" s="23" t="s">
        <v>72</v>
      </c>
      <c r="J10" s="23"/>
    </row>
    <row r="11" spans="2:10" ht="60">
      <c r="B11" s="18"/>
      <c r="C11" s="24" t="s">
        <v>71</v>
      </c>
      <c r="D11" s="24">
        <v>10</v>
      </c>
      <c r="E11" s="24">
        <v>8</v>
      </c>
      <c r="F11" s="23" t="s">
        <v>61</v>
      </c>
      <c r="G11" s="23"/>
      <c r="H11" s="23"/>
      <c r="I11" s="23" t="s">
        <v>73</v>
      </c>
      <c r="J11" s="23"/>
    </row>
    <row r="12" spans="2:10">
      <c r="B12" s="18"/>
      <c r="C12" s="23" t="s">
        <v>64</v>
      </c>
      <c r="D12" s="23">
        <v>3</v>
      </c>
      <c r="E12" s="23">
        <v>6</v>
      </c>
      <c r="F12" s="23" t="s">
        <v>64</v>
      </c>
      <c r="G12" s="23"/>
      <c r="H12" s="23"/>
      <c r="I12" s="23"/>
      <c r="J12" s="23"/>
    </row>
    <row r="13" spans="2:10" ht="60">
      <c r="B13" s="19" t="s">
        <v>55</v>
      </c>
      <c r="C13" s="23" t="s">
        <v>58</v>
      </c>
      <c r="D13" s="23">
        <v>7</v>
      </c>
      <c r="E13" s="23">
        <v>3</v>
      </c>
      <c r="F13" s="23" t="s">
        <v>57</v>
      </c>
      <c r="G13" s="23" t="s">
        <v>60</v>
      </c>
      <c r="H13" s="23" t="s">
        <v>62</v>
      </c>
      <c r="I13" s="23" t="s">
        <v>74</v>
      </c>
      <c r="J13" s="23" t="s">
        <v>65</v>
      </c>
    </row>
    <row r="14" spans="2:10" ht="45">
      <c r="B14" s="20"/>
      <c r="C14" s="23" t="s">
        <v>67</v>
      </c>
      <c r="D14" s="23">
        <v>9</v>
      </c>
      <c r="E14" s="23">
        <v>3</v>
      </c>
      <c r="F14" s="23" t="s">
        <v>59</v>
      </c>
      <c r="G14" s="23" t="s">
        <v>77</v>
      </c>
      <c r="H14" s="23" t="s">
        <v>63</v>
      </c>
      <c r="I14" s="24" t="s">
        <v>75</v>
      </c>
      <c r="J14" s="23" t="s">
        <v>66</v>
      </c>
    </row>
    <row r="15" spans="2:10" ht="60">
      <c r="B15" s="20"/>
      <c r="C15" s="23" t="s">
        <v>68</v>
      </c>
      <c r="D15" s="23">
        <v>9</v>
      </c>
      <c r="E15" s="23">
        <v>1</v>
      </c>
      <c r="F15" s="23" t="s">
        <v>78</v>
      </c>
      <c r="G15" s="23"/>
      <c r="H15" s="23" t="s">
        <v>70</v>
      </c>
      <c r="I15" s="23"/>
    </row>
    <row r="16" spans="2:10" ht="45">
      <c r="B16" s="20"/>
      <c r="C16" s="23" t="s">
        <v>69</v>
      </c>
      <c r="D16" s="23">
        <v>5</v>
      </c>
      <c r="E16" s="23">
        <v>4</v>
      </c>
      <c r="F16" s="23" t="s">
        <v>81</v>
      </c>
      <c r="G16" s="23"/>
      <c r="H16" s="23" t="s">
        <v>79</v>
      </c>
      <c r="I16" s="23"/>
      <c r="J16" s="23"/>
    </row>
    <row r="17" spans="2:10" ht="45">
      <c r="B17" s="20"/>
      <c r="C17" s="23" t="s">
        <v>76</v>
      </c>
      <c r="D17" s="23">
        <v>1</v>
      </c>
      <c r="E17" s="23">
        <v>5</v>
      </c>
      <c r="F17" s="23" t="s">
        <v>80</v>
      </c>
      <c r="G17" s="23"/>
      <c r="H17" s="23"/>
      <c r="I17" s="23"/>
      <c r="J17" s="23"/>
    </row>
    <row r="18" spans="2:10">
      <c r="B18" s="20"/>
      <c r="C18" s="23" t="s">
        <v>84</v>
      </c>
      <c r="D18" s="23"/>
      <c r="E18" s="23"/>
      <c r="F18" s="23"/>
      <c r="G18" s="23"/>
      <c r="H18" s="23"/>
      <c r="I18" s="23"/>
      <c r="J18" s="23"/>
    </row>
    <row r="19" spans="2:10">
      <c r="B19" s="20"/>
      <c r="C19" s="23"/>
      <c r="D19" s="23"/>
      <c r="E19" s="23"/>
      <c r="F19" s="23"/>
      <c r="G19" s="23"/>
      <c r="H19" s="23"/>
      <c r="I19" s="23"/>
      <c r="J19" s="23"/>
    </row>
    <row r="20" spans="2:10">
      <c r="B20" s="20"/>
      <c r="C20" s="23"/>
      <c r="D20" s="23"/>
      <c r="E20" s="23"/>
      <c r="F20" s="23"/>
      <c r="G20" s="23"/>
      <c r="H20" s="23"/>
      <c r="I20" s="23"/>
      <c r="J20" s="23"/>
    </row>
    <row r="21" spans="2:10">
      <c r="B21" s="20"/>
      <c r="C21" s="23"/>
      <c r="D21" s="23"/>
      <c r="E21" s="23"/>
      <c r="F21" s="23"/>
      <c r="G21" s="23"/>
      <c r="H21" s="23"/>
      <c r="I21" s="23"/>
      <c r="J21" s="23"/>
    </row>
    <row r="22" spans="2:10">
      <c r="B22" s="20"/>
      <c r="C22" s="23"/>
      <c r="D22" s="23"/>
      <c r="E22" s="23"/>
      <c r="F22" s="23"/>
      <c r="G22" s="23"/>
      <c r="H22" s="23"/>
      <c r="I22" s="23"/>
      <c r="J22" s="23"/>
    </row>
    <row r="23" spans="2:10">
      <c r="B23" s="21"/>
      <c r="C23" s="23"/>
      <c r="D23" s="23"/>
      <c r="E23" s="23"/>
      <c r="F23" s="23"/>
      <c r="G23" s="23"/>
      <c r="H23" s="23"/>
      <c r="I23" s="23"/>
      <c r="J23" s="23"/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</dc:creator>
  <cp:lastModifiedBy>Anix Lynch</cp:lastModifiedBy>
  <dcterms:created xsi:type="dcterms:W3CDTF">2015-08-02T09:05:23Z</dcterms:created>
  <dcterms:modified xsi:type="dcterms:W3CDTF">2015-08-17T05:46:43Z</dcterms:modified>
</cp:coreProperties>
</file>